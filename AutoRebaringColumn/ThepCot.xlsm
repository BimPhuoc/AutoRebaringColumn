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LAP TRINH\Addin\AutoRebaringColumn\AutoRebaringColumn\"/>
    </mc:Choice>
  </mc:AlternateContent>
  <bookViews>
    <workbookView xWindow="0" yWindow="0" windowWidth="28800" windowHeight="12450" tabRatio="360"/>
  </bookViews>
  <sheets>
    <sheet name="WallRebar" sheetId="1" r:id="rId1"/>
  </sheets>
  <definedNames>
    <definedName name="abv">WallRebar!$B$16</definedName>
    <definedName name="angle_Bar">WallRebar!$B$14</definedName>
    <definedName name="bd">WallRebar!$C$37</definedName>
    <definedName name="bop">WallRebar!$B$13</definedName>
    <definedName name="bt">WallRebar!$B$37</definedName>
    <definedName name="chenh_lechPT">WallRebar!$B$30</definedName>
    <definedName name="chenh_lechS">WallRebar!$B$31</definedName>
    <definedName name="Comment_bien">WallRebar!$Y$37</definedName>
    <definedName name="Comment_giua">WallRebar!$AC$37</definedName>
    <definedName name="D_bien">WallRebar!$D$37</definedName>
    <definedName name="D_giua">WallRebar!$E$37</definedName>
    <definedName name="daiNgang">WallRebar!$U$37</definedName>
    <definedName name="DKDaiBien">WallRebar!$L$37</definedName>
    <definedName name="DKDaiCon">WallRebar!$N$37</definedName>
    <definedName name="DKDaiNgoai">WallRebar!$J$37</definedName>
    <definedName name="dtc1_bien">WallRebar!$B$4</definedName>
    <definedName name="dtc1_giua">WallRebar!$B$6</definedName>
    <definedName name="dtc2_bien">WallRebar!$B$5</definedName>
    <definedName name="dtc2_giua">WallRebar!$B$7</definedName>
    <definedName name="end_level">WallRebar!$B$27</definedName>
    <definedName name="height">WallRebar!#REF!</definedName>
    <definedName name="hook">WallRebar!$B$9</definedName>
    <definedName name="hook_offset">WallRebar!$B$12</definedName>
    <definedName name="implant">WallRebar!$B$11</definedName>
    <definedName name="Inquire">WallRebar!$L$18</definedName>
    <definedName name="k">WallRebar!$B$23</definedName>
    <definedName name="L0_bien">WallRebar!$X$37</definedName>
    <definedName name="L0_giua">WallRebar!$AB$37</definedName>
    <definedName name="L1_bien">WallRebar!$V$37</definedName>
    <definedName name="L1_giua">WallRebar!$Z$37</definedName>
    <definedName name="L2_bien">WallRebar!$W$37</definedName>
    <definedName name="L2_giua">WallRebar!$AA$37</definedName>
    <definedName name="Level">WallRebar!$A$37</definedName>
    <definedName name="Lmax">WallRebar!$B$20</definedName>
    <definedName name="Lmin">WallRebar!$B$19</definedName>
    <definedName name="mark">WallRebar!$B$34</definedName>
    <definedName name="n1_">WallRebar!$B$21</definedName>
    <definedName name="n2_">WallRebar!$B$22</definedName>
    <definedName name="name_para1">WallRebar!$AD$36</definedName>
    <definedName name="name_para2">WallRebar!$AE$36</definedName>
    <definedName name="name_para3">WallRebar!$AF$36</definedName>
    <definedName name="name_para4">WallRebar!$AG$36</definedName>
    <definedName name="number_A">WallRebar!$F$37</definedName>
    <definedName name="number_B">WallRebar!$G$37</definedName>
    <definedName name="number_C">WallRebar!$H$37</definedName>
    <definedName name="para1">WallRebar!$AD$37</definedName>
    <definedName name="para2">WallRebar!$AE$37</definedName>
    <definedName name="para3">WallRebar!$AF$37</definedName>
    <definedName name="para4">WallRebar!$AG$37</definedName>
    <definedName name="SCDaiBien">WallRebar!$K$37</definedName>
    <definedName name="SCDaiCon">WallRebar!$M$37</definedName>
    <definedName name="SCDaiNgoai">WallRebar!$I$37</definedName>
    <definedName name="SoDaiConBien">WallRebar!#REF!</definedName>
    <definedName name="SoDaiConGiua">WallRebar!#REF!</definedName>
    <definedName name="spacing1_con">WallRebar!$O$37</definedName>
    <definedName name="spacing2_con">WallRebar!$P$37</definedName>
    <definedName name="spacing3_bao">WallRebar!$Q$37</definedName>
    <definedName name="spacing4_bao">WallRebar!$R$37</definedName>
    <definedName name="spacing5_bien">WallRebar!$S$37</definedName>
    <definedName name="spacing6_bien">WallRebar!$T$37</definedName>
    <definedName name="ss">WallRebar!$B$18</definedName>
    <definedName name="start_level">WallRebar!$B$26</definedName>
    <definedName name="tan_dung">WallRebar!$B$29</definedName>
    <definedName name="tl">WallRebar!$B$15</definedName>
    <definedName name="type_hook">WallRebar!$B$8</definedName>
    <definedName name="type_implant">WallRebar!$B$10</definedName>
    <definedName name="Update">WallRebar!$L$17</definedName>
    <definedName name="vuotTang">WallRebar!$B$24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84" i="1" l="1"/>
  <c r="R85" i="1"/>
  <c r="R86" i="1"/>
  <c r="R83" i="1"/>
  <c r="M84" i="1"/>
  <c r="M85" i="1"/>
  <c r="M86" i="1"/>
  <c r="M87" i="1"/>
  <c r="M88" i="1"/>
  <c r="M83" i="1"/>
  <c r="M89" i="1"/>
  <c r="M90" i="1"/>
  <c r="M91" i="1"/>
  <c r="X19" i="1" l="1"/>
</calcChain>
</file>

<file path=xl/comments1.xml><?xml version="1.0" encoding="utf-8"?>
<comments xmlns="http://schemas.openxmlformats.org/spreadsheetml/2006/main">
  <authors>
    <author>Phuoc</author>
    <author>User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>switch (excel.type_hook)
    case "hook1": //hook = 300
        hook_Oxy = excel.hook;
    case "hook2":
        hook_Oxy = excel.hook*rbPoint.D[i];
    case "hook3":
        hook_Oxy = excel.hook - (floor.thickness - excel.hook_offset);
    case "hook4":
        hook_Oxy = excel.hook * rbPoint.D[i] - (floor.thickness - excel.hook_offset);</t>
        </r>
      </text>
    </comment>
    <comment ref="B10" authorId="0" shapeId="0">
      <text>
        <r>
          <rPr>
            <sz val="9"/>
            <color indexed="81"/>
            <rFont val="Tahoma"/>
            <family val="2"/>
          </rPr>
          <t xml:space="preserve">switch (excel.type_implant)
    case "hook1":
        hook_Oz = excel.implant;
        break;
    case "hook2":
        hook_Oz = excel.implant* rbPoint.nsPoint[i].rebarType.BarDiameter;
</t>
        </r>
      </text>
    </comment>
    <comment ref="B36" authorId="1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Đoạn tới hạn dưới</t>
        </r>
      </text>
    </comment>
    <comment ref="C36" authorId="1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Đoạn tới hạn trên</t>
        </r>
      </text>
    </comment>
    <comment ref="F36" authorId="1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Số thép Biên cạnh dài
</t>
        </r>
      </text>
    </comment>
    <comment ref="G36" authorId="1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Số thép giữa cạnh dài
</t>
        </r>
      </text>
    </comment>
    <comment ref="H36" authorId="1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Số thép cạnh ngắn</t>
        </r>
      </text>
    </comment>
    <comment ref="V36" authorId="0" shapeId="0">
      <text>
        <r>
          <rPr>
            <sz val="9"/>
            <color indexed="81"/>
            <rFont val="Tahoma"/>
            <family val="2"/>
          </rPr>
          <t xml:space="preserve">đoạn thép nối với đoạn théo chờ dtc1
</t>
        </r>
      </text>
    </comment>
    <comment ref="W36" authorId="0" shapeId="0">
      <text>
        <r>
          <rPr>
            <sz val="9"/>
            <color indexed="81"/>
            <rFont val="Tahoma"/>
            <family val="2"/>
          </rPr>
          <t>đoạn thép nối với đoạn théo chờ dtc2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thép dư L0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 xml:space="preserve">đoạn thép nối với đoạn théo chờ dtc1
</t>
        </r>
      </text>
    </comment>
    <comment ref="AA36" authorId="0" shapeId="0">
      <text>
        <r>
          <rPr>
            <sz val="9"/>
            <color indexed="81"/>
            <rFont val="Tahoma"/>
            <family val="2"/>
          </rPr>
          <t>đoạn thép nối với đoạn théo chờ dtc2</t>
        </r>
      </text>
    </comment>
    <comment ref="AB36" authorId="0" shapeId="0">
      <text>
        <r>
          <rPr>
            <sz val="9"/>
            <color indexed="81"/>
            <rFont val="Tahoma"/>
            <family val="2"/>
          </rPr>
          <t>thép dư L0</t>
        </r>
      </text>
    </comment>
  </commentList>
</comments>
</file>

<file path=xl/sharedStrings.xml><?xml version="1.0" encoding="utf-8"?>
<sst xmlns="http://schemas.openxmlformats.org/spreadsheetml/2006/main" count="414" uniqueCount="122">
  <si>
    <t>bt[i]</t>
  </si>
  <si>
    <t>bd[i]</t>
  </si>
  <si>
    <t>A[i]</t>
  </si>
  <si>
    <t>B[i]</t>
  </si>
  <si>
    <t>C[i]</t>
  </si>
  <si>
    <t>cây thép lớn nhất thi công được</t>
  </si>
  <si>
    <t>đoạn nối thép</t>
  </si>
  <si>
    <t>mm</t>
  </si>
  <si>
    <t>sai số cho phép</t>
  </si>
  <si>
    <t>D</t>
  </si>
  <si>
    <t>khoãng cách giữa 2 đoạn nối</t>
  </si>
  <si>
    <t>CÁC THAM SỐ CẦN INPUT VÀO ĐỂ SETUP VẼ THÉP DỌC, DỰA THEO SPECIFICATION</t>
  </si>
  <si>
    <t>hook</t>
  </si>
  <si>
    <t>cottan của góc xiên khi bẻ ke</t>
  </si>
  <si>
    <t>tl</t>
  </si>
  <si>
    <t>tỉ lệ length/A (hình minh họa  vẽ sau)</t>
  </si>
  <si>
    <t>3.Bảng để người dùng nhập số liệu</t>
  </si>
  <si>
    <t>Đường kính thép Biên</t>
  </si>
  <si>
    <t>Đường kính thép Giữa</t>
  </si>
  <si>
    <t>SC-Đai Ngoài</t>
  </si>
  <si>
    <t>SC-Đai con</t>
  </si>
  <si>
    <t>Tên Vách</t>
  </si>
  <si>
    <t>đoạn offet từ mặt trên của sàn đến đoạn khóa đầu</t>
  </si>
  <si>
    <t>Dk Đai Ngoài</t>
  </si>
  <si>
    <t>Đk Đai Biên</t>
  </si>
  <si>
    <t>ĐK Đai con</t>
  </si>
  <si>
    <t>T20</t>
  </si>
  <si>
    <t>T12</t>
  </si>
  <si>
    <t>hook_offset</t>
  </si>
  <si>
    <t>angle_Bar</t>
  </si>
  <si>
    <t>ss</t>
  </si>
  <si>
    <t>Lmax</t>
  </si>
  <si>
    <t>n1</t>
  </si>
  <si>
    <t>n2</t>
  </si>
  <si>
    <t>Lmin</t>
  </si>
  <si>
    <t>STT</t>
  </si>
  <si>
    <t>bop</t>
  </si>
  <si>
    <t>k</t>
  </si>
  <si>
    <t>tầng</t>
  </si>
  <si>
    <t>số tầng ở phía trên mà có thể phối với tầng dưới</t>
  </si>
  <si>
    <t>vuotTang</t>
  </si>
  <si>
    <t>yes</t>
  </si>
  <si>
    <t>Partition</t>
  </si>
  <si>
    <t>dtc1_bien</t>
  </si>
  <si>
    <t>dtc2_bien</t>
  </si>
  <si>
    <t>dtc1_giua</t>
  </si>
  <si>
    <t>dtc2_giua</t>
  </si>
  <si>
    <t>đoạn thép chờ 1 của Wall[0] ở vùng biên</t>
  </si>
  <si>
    <t>đoạn thép chờ 2 của Wall[0] ở vùng biên</t>
  </si>
  <si>
    <t>đoạn thép chờ 1 của Wall[0] ở vùng giữa</t>
  </si>
  <si>
    <t>đoạn thép chờ 2 của Wall[0] ở vùng giữa</t>
  </si>
  <si>
    <t>đoạn bóp tiết diện  để phân biệt gữa cách vẽ khóa đầu-cắm  mới và nhấn thép</t>
  </si>
  <si>
    <t>L1_bien</t>
  </si>
  <si>
    <t>L2_bien</t>
  </si>
  <si>
    <t>L0_bien</t>
  </si>
  <si>
    <t>L1_giua</t>
  </si>
  <si>
    <t>L2_giua</t>
  </si>
  <si>
    <t>L0_giua</t>
  </si>
  <si>
    <t>Comment_bien</t>
  </si>
  <si>
    <t>Comment_giua</t>
  </si>
  <si>
    <t>SC-  Đai Biên</t>
  </si>
  <si>
    <t>abv</t>
  </si>
  <si>
    <t>1.Tham số để vẽ thép:</t>
  </si>
  <si>
    <t>lớp bê tông bảo vệ</t>
  </si>
  <si>
    <t>cho phép phối thép chạy vượt tầng ko?</t>
  </si>
  <si>
    <t>So Luong</t>
  </si>
  <si>
    <t>OUTPUT</t>
  </si>
  <si>
    <t>PARAMETER</t>
  </si>
  <si>
    <t>INPUT  STANDARD REBAR</t>
  </si>
  <si>
    <t>INPUT STIRRUP REBAR</t>
  </si>
  <si>
    <t>Spacing_Đai con_H/5</t>
  </si>
  <si>
    <t>Spacing_Đai con_3H/5</t>
  </si>
  <si>
    <t>Spacing_Đai Bao_H/5</t>
  </si>
  <si>
    <t>Spacing_Đai Bao_3H/5</t>
  </si>
  <si>
    <t>Spacing_Đai Bao Biên_H/5</t>
  </si>
  <si>
    <t>Spacing_Đai Bao Biên_3H/5</t>
  </si>
  <si>
    <t>2.Tham số để vẽ phối thép dọc:</t>
  </si>
  <si>
    <t>Đai Ngang</t>
  </si>
  <si>
    <t>TD_C_90-135</t>
  </si>
  <si>
    <t>TD_U_02</t>
  </si>
  <si>
    <t>TD_01</t>
  </si>
  <si>
    <t>1F</t>
  </si>
  <si>
    <t>2F</t>
  </si>
  <si>
    <t>3F</t>
  </si>
  <si>
    <t>5F</t>
  </si>
  <si>
    <t>6F</t>
  </si>
  <si>
    <t>7F</t>
  </si>
  <si>
    <t>8F</t>
  </si>
  <si>
    <t>9F</t>
  </si>
  <si>
    <t>10F</t>
  </si>
  <si>
    <t>11F</t>
  </si>
  <si>
    <t>12F</t>
  </si>
  <si>
    <t>13F</t>
  </si>
  <si>
    <t>14F</t>
  </si>
  <si>
    <t>15F</t>
  </si>
  <si>
    <t>16F</t>
  </si>
  <si>
    <t>17F</t>
  </si>
  <si>
    <t>18F</t>
  </si>
  <si>
    <t>19F</t>
  </si>
  <si>
    <t>20F</t>
  </si>
  <si>
    <t>21F</t>
  </si>
  <si>
    <t>start_level</t>
  </si>
  <si>
    <t>end_level</t>
  </si>
  <si>
    <t>Update Path</t>
  </si>
  <si>
    <t>Inquire Path</t>
  </si>
  <si>
    <t>D:\1. Work\Code Project\1. Revit Addin\AutoRebaringWall\AutoRebaringWall\AutoRebaringWall\UpdateDatabase\bin\Debug\UpdateDatabase.exe</t>
  </si>
  <si>
    <t>D:\1. Work\Code Project\1. Revit Addin\AutoRebaringWall\AutoRebaringWall\AutoRebaringWall\InquireDatabase\bin\Debug\InquireDatabase.exe</t>
  </si>
  <si>
    <t>CW2</t>
  </si>
  <si>
    <t>%</t>
  </si>
  <si>
    <t>tan_dung</t>
  </si>
  <si>
    <t>chenh_lech</t>
  </si>
  <si>
    <t>type_hook</t>
  </si>
  <si>
    <t>hook1</t>
  </si>
  <si>
    <t>type_implant</t>
  </si>
  <si>
    <t>implant</t>
  </si>
  <si>
    <t>kiểu nối thép ở đỉnh vách</t>
  </si>
  <si>
    <t>kiểu cấy thép mới</t>
  </si>
  <si>
    <t>i</t>
  </si>
  <si>
    <t>dtc2=d2+bt</t>
  </si>
  <si>
    <t>sai 950</t>
  </si>
  <si>
    <t>tận dụng L2925 cho tầng 19</t>
  </si>
  <si>
    <t>tái sử dụng L2925 từ tầng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</si>
</sst>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5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1" xfId="0" applyFill="1" applyBorder="1"/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0" xfId="0" applyFill="1"/>
    <xf numFmtId="0" fontId="4" fillId="4" borderId="5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 wrapText="1"/>
    </xf>
    <xf numFmtId="0" fontId="0" fillId="2" borderId="8" xfId="0" applyFill="1" applyBorder="1"/>
    <xf numFmtId="0" fontId="0" fillId="0" borderId="9" xfId="0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Alignment="1">
      <alignment wrapText="1"/>
    </xf>
    <xf numFmtId="0" fontId="0" fillId="0" borderId="0" xfId="0" applyFont="1" applyAlignment="1">
      <alignment horizontal="left"/>
    </xf>
    <xf numFmtId="0" fontId="4" fillId="5" borderId="5" xfId="0" applyFont="1" applyFill="1" applyBorder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 applyBorder="1"/>
    <xf numFmtId="0" fontId="4" fillId="5" borderId="1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4" fillId="0" borderId="0" xfId="0" applyFont="1" applyAlignment="1">
      <alignment horizontal="left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</xdr:row>
          <xdr:rowOff>104775</xdr:rowOff>
        </xdr:from>
        <xdr:to>
          <xdr:col>8</xdr:col>
          <xdr:colOff>57150</xdr:colOff>
          <xdr:row>33</xdr:row>
          <xdr:rowOff>95250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31</xdr:row>
          <xdr:rowOff>104775</xdr:rowOff>
        </xdr:from>
        <xdr:to>
          <xdr:col>9</xdr:col>
          <xdr:colOff>304800</xdr:colOff>
          <xdr:row>33</xdr:row>
          <xdr:rowOff>95250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Inquire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H91"/>
  <sheetViews>
    <sheetView tabSelected="1" topLeftCell="A25" zoomScaleNormal="100" workbookViewId="0">
      <selection activeCell="H37" sqref="H37"/>
    </sheetView>
  </sheetViews>
  <sheetFormatPr defaultRowHeight="11.25" x14ac:dyDescent="0.2"/>
  <cols>
    <col min="1" max="1" width="15.5" customWidth="1"/>
    <col min="2" max="2" width="7.5" bestFit="1" customWidth="1"/>
    <col min="3" max="3" width="8.83203125" customWidth="1"/>
    <col min="4" max="4" width="11.1640625" customWidth="1"/>
    <col min="5" max="5" width="12.83203125" customWidth="1"/>
    <col min="6" max="6" width="4.1640625" bestFit="1" customWidth="1"/>
    <col min="7" max="8" width="4" bestFit="1" customWidth="1"/>
    <col min="9" max="9" width="10.5" customWidth="1"/>
    <col min="10" max="10" width="10.33203125" style="4" customWidth="1"/>
    <col min="11" max="11" width="10.1640625" style="4" customWidth="1"/>
    <col min="12" max="12" width="9.83203125" style="4" customWidth="1"/>
    <col min="13" max="13" width="11.33203125" style="4" bestFit="1" customWidth="1"/>
    <col min="14" max="14" width="11.33203125" style="4" customWidth="1"/>
    <col min="15" max="15" width="10.33203125" style="4" customWidth="1"/>
    <col min="16" max="16" width="12.1640625" style="4" customWidth="1"/>
    <col min="17" max="17" width="14.6640625" style="4" customWidth="1"/>
    <col min="18" max="21" width="12.33203125" style="4" customWidth="1"/>
    <col min="22" max="22" width="7.33203125" style="4" bestFit="1" customWidth="1"/>
    <col min="23" max="24" width="7.33203125" bestFit="1" customWidth="1"/>
    <col min="25" max="25" width="24.5" customWidth="1"/>
    <col min="26" max="28" width="7" bestFit="1" customWidth="1"/>
    <col min="29" max="29" width="28.83203125" customWidth="1"/>
    <col min="30" max="30" width="8" bestFit="1" customWidth="1"/>
    <col min="31" max="31" width="8" style="4" bestFit="1" customWidth="1"/>
    <col min="32" max="32" width="8" style="4" customWidth="1"/>
    <col min="33" max="33" width="9.6640625" style="4" customWidth="1"/>
  </cols>
  <sheetData>
    <row r="2" spans="1:24" ht="12.75" x14ac:dyDescent="0.2">
      <c r="A2" s="29" t="s">
        <v>11</v>
      </c>
      <c r="B2" s="29"/>
      <c r="C2" s="29"/>
      <c r="D2" s="29"/>
      <c r="E2" s="29"/>
      <c r="F2" s="29"/>
      <c r="G2" s="29"/>
    </row>
    <row r="3" spans="1:24" x14ac:dyDescent="0.2">
      <c r="A3" s="30" t="s">
        <v>62</v>
      </c>
      <c r="B3" s="30"/>
      <c r="C3" s="30"/>
      <c r="D3" s="30"/>
      <c r="E3" s="30"/>
      <c r="F3" s="30"/>
      <c r="G3" s="30"/>
    </row>
    <row r="4" spans="1:24" x14ac:dyDescent="0.2">
      <c r="A4" t="s">
        <v>43</v>
      </c>
      <c r="B4" s="1">
        <v>1100</v>
      </c>
      <c r="C4" t="s">
        <v>7</v>
      </c>
      <c r="D4" s="3" t="s">
        <v>47</v>
      </c>
      <c r="E4" s="3"/>
    </row>
    <row r="5" spans="1:24" x14ac:dyDescent="0.2">
      <c r="A5" t="s">
        <v>44</v>
      </c>
      <c r="B5" s="1">
        <v>2200</v>
      </c>
      <c r="C5" t="s">
        <v>7</v>
      </c>
      <c r="D5" s="3" t="s">
        <v>48</v>
      </c>
      <c r="E5" s="3"/>
    </row>
    <row r="6" spans="1:24" x14ac:dyDescent="0.2">
      <c r="A6" t="s">
        <v>45</v>
      </c>
      <c r="B6" s="1">
        <v>1100</v>
      </c>
      <c r="C6" t="s">
        <v>7</v>
      </c>
      <c r="D6" s="3" t="s">
        <v>49</v>
      </c>
      <c r="E6" s="3"/>
    </row>
    <row r="7" spans="1:24" x14ac:dyDescent="0.2">
      <c r="A7" t="s">
        <v>46</v>
      </c>
      <c r="B7" s="1">
        <v>2200</v>
      </c>
      <c r="C7" t="s">
        <v>7</v>
      </c>
      <c r="D7" s="3" t="s">
        <v>50</v>
      </c>
      <c r="E7" s="3"/>
    </row>
    <row r="8" spans="1:24" x14ac:dyDescent="0.2">
      <c r="A8" t="s">
        <v>111</v>
      </c>
      <c r="B8" s="1" t="s">
        <v>112</v>
      </c>
      <c r="D8" s="3" t="s">
        <v>115</v>
      </c>
      <c r="E8" s="3"/>
    </row>
    <row r="9" spans="1:24" x14ac:dyDescent="0.2">
      <c r="A9" t="s">
        <v>12</v>
      </c>
      <c r="B9" s="1">
        <v>300</v>
      </c>
      <c r="C9" t="s">
        <v>7</v>
      </c>
      <c r="D9" s="3"/>
      <c r="E9" s="3"/>
    </row>
    <row r="10" spans="1:24" x14ac:dyDescent="0.2">
      <c r="A10" t="s">
        <v>113</v>
      </c>
      <c r="B10" s="1" t="s">
        <v>112</v>
      </c>
      <c r="D10" s="3" t="s">
        <v>116</v>
      </c>
      <c r="E10" s="3"/>
    </row>
    <row r="11" spans="1:24" x14ac:dyDescent="0.2">
      <c r="A11" t="s">
        <v>114</v>
      </c>
      <c r="B11" s="1">
        <v>400</v>
      </c>
      <c r="D11" s="3"/>
      <c r="E11" s="3"/>
    </row>
    <row r="12" spans="1:24" x14ac:dyDescent="0.2">
      <c r="A12" t="s">
        <v>28</v>
      </c>
      <c r="B12" s="1">
        <v>99.999999999999901</v>
      </c>
      <c r="C12" t="s">
        <v>7</v>
      </c>
      <c r="D12" s="3" t="s">
        <v>22</v>
      </c>
      <c r="X12">
        <v>3600</v>
      </c>
    </row>
    <row r="13" spans="1:24" ht="11.25" customHeight="1" x14ac:dyDescent="0.2">
      <c r="A13" t="s">
        <v>36</v>
      </c>
      <c r="B13" s="1">
        <v>99.999999999999901</v>
      </c>
      <c r="C13" t="s">
        <v>7</v>
      </c>
      <c r="D13" s="18" t="s">
        <v>51</v>
      </c>
      <c r="E13" s="17"/>
      <c r="F13" s="17"/>
      <c r="X13">
        <v>300</v>
      </c>
    </row>
    <row r="14" spans="1:24" x14ac:dyDescent="0.2">
      <c r="A14" t="s">
        <v>29</v>
      </c>
      <c r="B14" s="1">
        <v>6</v>
      </c>
      <c r="D14" s="3" t="s">
        <v>13</v>
      </c>
      <c r="E14" s="3"/>
    </row>
    <row r="15" spans="1:24" x14ac:dyDescent="0.2">
      <c r="A15" t="s">
        <v>14</v>
      </c>
      <c r="B15" s="1">
        <v>6</v>
      </c>
      <c r="D15" s="3" t="s">
        <v>15</v>
      </c>
      <c r="E15" s="3"/>
    </row>
    <row r="16" spans="1:24" x14ac:dyDescent="0.2">
      <c r="A16" t="s">
        <v>61</v>
      </c>
      <c r="B16" s="1">
        <v>25.000000000000004</v>
      </c>
      <c r="D16" s="3" t="s">
        <v>63</v>
      </c>
      <c r="E16" s="3"/>
    </row>
    <row r="17" spans="1:25" x14ac:dyDescent="0.2">
      <c r="A17" s="30" t="s">
        <v>76</v>
      </c>
      <c r="B17" s="30"/>
      <c r="C17" s="30"/>
      <c r="D17" s="30"/>
      <c r="E17" s="30"/>
      <c r="F17" s="30"/>
      <c r="G17" s="30"/>
      <c r="J17" s="4" t="s">
        <v>103</v>
      </c>
      <c r="L17" s="25" t="s">
        <v>105</v>
      </c>
    </row>
    <row r="18" spans="1:25" x14ac:dyDescent="0.2">
      <c r="A18" t="s">
        <v>30</v>
      </c>
      <c r="B18" s="1">
        <v>0</v>
      </c>
      <c r="C18" t="s">
        <v>7</v>
      </c>
      <c r="D18" s="3" t="s">
        <v>8</v>
      </c>
      <c r="E18" s="3"/>
      <c r="J18" s="4" t="s">
        <v>104</v>
      </c>
      <c r="L18" s="25" t="s">
        <v>106</v>
      </c>
      <c r="X18">
        <v>14.5997375328083</v>
      </c>
      <c r="Y18">
        <v>304.8</v>
      </c>
    </row>
    <row r="19" spans="1:25" x14ac:dyDescent="0.2">
      <c r="A19" t="s">
        <v>34</v>
      </c>
      <c r="B19" s="1">
        <v>2900.0000000000005</v>
      </c>
      <c r="C19" t="s">
        <v>7</v>
      </c>
      <c r="D19" s="2" t="s">
        <v>5</v>
      </c>
      <c r="E19" s="2"/>
      <c r="X19">
        <f>X18*Y18</f>
        <v>4449.99999999997</v>
      </c>
    </row>
    <row r="20" spans="1:25" x14ac:dyDescent="0.2">
      <c r="A20" t="s">
        <v>31</v>
      </c>
      <c r="B20" s="1">
        <v>5850.0000000000082</v>
      </c>
      <c r="C20" t="s">
        <v>7</v>
      </c>
      <c r="D20" s="2" t="s">
        <v>5</v>
      </c>
      <c r="E20" s="2"/>
    </row>
    <row r="21" spans="1:25" x14ac:dyDescent="0.2">
      <c r="A21" t="s">
        <v>32</v>
      </c>
      <c r="B21" s="1">
        <v>40</v>
      </c>
      <c r="C21" t="s">
        <v>9</v>
      </c>
      <c r="D21" s="3" t="s">
        <v>6</v>
      </c>
      <c r="E21" s="3"/>
    </row>
    <row r="22" spans="1:25" x14ac:dyDescent="0.2">
      <c r="A22" t="s">
        <v>33</v>
      </c>
      <c r="B22" s="1">
        <v>0</v>
      </c>
      <c r="C22" t="s">
        <v>9</v>
      </c>
      <c r="D22" s="3" t="s">
        <v>10</v>
      </c>
      <c r="E22" s="3"/>
    </row>
    <row r="23" spans="1:25" x14ac:dyDescent="0.2">
      <c r="A23" t="s">
        <v>37</v>
      </c>
      <c r="B23" s="12">
        <v>2</v>
      </c>
      <c r="C23" t="s">
        <v>38</v>
      </c>
      <c r="D23" s="3" t="s">
        <v>39</v>
      </c>
    </row>
    <row r="24" spans="1:25" x14ac:dyDescent="0.2">
      <c r="A24" t="s">
        <v>40</v>
      </c>
      <c r="B24" s="1" t="s">
        <v>41</v>
      </c>
      <c r="D24" s="3" t="s">
        <v>64</v>
      </c>
    </row>
    <row r="26" spans="1:25" x14ac:dyDescent="0.2">
      <c r="A26" t="s">
        <v>101</v>
      </c>
      <c r="B26" s="1" t="s">
        <v>81</v>
      </c>
    </row>
    <row r="27" spans="1:25" x14ac:dyDescent="0.2">
      <c r="A27" t="s">
        <v>102</v>
      </c>
      <c r="B27" s="1" t="s">
        <v>100</v>
      </c>
    </row>
    <row r="28" spans="1:25" x14ac:dyDescent="0.2">
      <c r="B28" s="26"/>
    </row>
    <row r="29" spans="1:25" x14ac:dyDescent="0.2">
      <c r="A29" t="s">
        <v>109</v>
      </c>
      <c r="B29" s="1" t="s">
        <v>41</v>
      </c>
    </row>
    <row r="30" spans="1:25" x14ac:dyDescent="0.2">
      <c r="A30" t="s">
        <v>110</v>
      </c>
      <c r="B30" s="1">
        <v>10</v>
      </c>
      <c r="C30" t="s">
        <v>108</v>
      </c>
    </row>
    <row r="31" spans="1:25" x14ac:dyDescent="0.2">
      <c r="B31" s="1">
        <v>5</v>
      </c>
    </row>
    <row r="33" spans="1:34" x14ac:dyDescent="0.2">
      <c r="A33" s="30" t="s">
        <v>16</v>
      </c>
      <c r="B33" s="30"/>
      <c r="C33" s="30"/>
      <c r="D33" s="30"/>
      <c r="E33" s="30"/>
      <c r="F33" s="30"/>
      <c r="G33" s="30"/>
    </row>
    <row r="34" spans="1:34" ht="15.75" x14ac:dyDescent="0.2">
      <c r="A34" s="4" t="s">
        <v>21</v>
      </c>
      <c r="B34" s="5" t="s">
        <v>107</v>
      </c>
    </row>
    <row r="35" spans="1:34" x14ac:dyDescent="0.2">
      <c r="A35" s="31" t="s">
        <v>68</v>
      </c>
      <c r="B35" s="32"/>
      <c r="C35" s="32"/>
      <c r="D35" s="32"/>
      <c r="E35" s="32"/>
      <c r="F35" s="32"/>
      <c r="G35" s="32"/>
      <c r="H35" s="32"/>
      <c r="I35" s="34"/>
      <c r="J35" s="31" t="s">
        <v>69</v>
      </c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21"/>
      <c r="V35" s="33" t="s">
        <v>66</v>
      </c>
      <c r="W35" s="33"/>
      <c r="X35" s="33"/>
      <c r="Y35" s="33"/>
      <c r="Z35" s="33"/>
      <c r="AA35" s="33"/>
      <c r="AB35" s="33"/>
      <c r="AC35" s="33"/>
      <c r="AD35" s="27" t="s">
        <v>67</v>
      </c>
      <c r="AE35" s="28"/>
      <c r="AF35" s="28"/>
      <c r="AG35" s="28"/>
    </row>
    <row r="36" spans="1:34" ht="26.25" customHeight="1" x14ac:dyDescent="0.2">
      <c r="A36" s="10" t="s">
        <v>35</v>
      </c>
      <c r="B36" s="10" t="s">
        <v>0</v>
      </c>
      <c r="C36" s="10" t="s">
        <v>1</v>
      </c>
      <c r="D36" s="11" t="s">
        <v>17</v>
      </c>
      <c r="E36" s="11" t="s">
        <v>18</v>
      </c>
      <c r="F36" s="10" t="s">
        <v>2</v>
      </c>
      <c r="G36" s="10" t="s">
        <v>3</v>
      </c>
      <c r="H36" s="10" t="s">
        <v>4</v>
      </c>
      <c r="I36" s="11" t="s">
        <v>19</v>
      </c>
      <c r="J36" s="11" t="s">
        <v>23</v>
      </c>
      <c r="K36" s="11" t="s">
        <v>60</v>
      </c>
      <c r="L36" s="11" t="s">
        <v>24</v>
      </c>
      <c r="M36" s="11" t="s">
        <v>20</v>
      </c>
      <c r="N36" s="11" t="s">
        <v>25</v>
      </c>
      <c r="O36" s="11" t="s">
        <v>70</v>
      </c>
      <c r="P36" s="11" t="s">
        <v>71</v>
      </c>
      <c r="Q36" s="11" t="s">
        <v>72</v>
      </c>
      <c r="R36" s="11" t="s">
        <v>73</v>
      </c>
      <c r="S36" s="11" t="s">
        <v>74</v>
      </c>
      <c r="T36" s="11" t="s">
        <v>75</v>
      </c>
      <c r="U36" s="11" t="s">
        <v>77</v>
      </c>
      <c r="V36" s="20" t="s">
        <v>52</v>
      </c>
      <c r="W36" s="20" t="s">
        <v>53</v>
      </c>
      <c r="X36" s="20" t="s">
        <v>54</v>
      </c>
      <c r="Y36" s="20" t="s">
        <v>58</v>
      </c>
      <c r="Z36" s="20" t="s">
        <v>55</v>
      </c>
      <c r="AA36" s="20" t="s">
        <v>56</v>
      </c>
      <c r="AB36" s="20" t="s">
        <v>57</v>
      </c>
      <c r="AC36" s="20" t="s">
        <v>59</v>
      </c>
      <c r="AD36" s="19" t="s">
        <v>42</v>
      </c>
      <c r="AE36" s="19" t="s">
        <v>65</v>
      </c>
      <c r="AF36" s="19"/>
      <c r="AG36" s="19"/>
    </row>
    <row r="37" spans="1:34" s="9" customFormat="1" x14ac:dyDescent="0.2">
      <c r="A37" s="7" t="s">
        <v>81</v>
      </c>
      <c r="B37" s="7">
        <v>49.99999999999995</v>
      </c>
      <c r="C37" s="7">
        <v>599.99999999999886</v>
      </c>
      <c r="D37" s="7" t="s">
        <v>26</v>
      </c>
      <c r="E37" s="7" t="s">
        <v>26</v>
      </c>
      <c r="F37" s="7">
        <v>3</v>
      </c>
      <c r="G37" s="7">
        <v>5</v>
      </c>
      <c r="H37" s="7">
        <v>2</v>
      </c>
      <c r="I37" s="23" t="s">
        <v>79</v>
      </c>
      <c r="J37" s="23" t="s">
        <v>27</v>
      </c>
      <c r="K37" s="23" t="s">
        <v>80</v>
      </c>
      <c r="L37" s="23" t="s">
        <v>27</v>
      </c>
      <c r="M37" s="23" t="s">
        <v>78</v>
      </c>
      <c r="N37" s="23" t="s">
        <v>27</v>
      </c>
      <c r="O37" s="7">
        <v>99.999999999999901</v>
      </c>
      <c r="P37" s="7">
        <v>250.00000000000006</v>
      </c>
      <c r="Q37" s="7">
        <v>99.999999999999901</v>
      </c>
      <c r="R37" s="7">
        <v>250.00000000000006</v>
      </c>
      <c r="S37" s="7">
        <v>250.00000000000006</v>
      </c>
      <c r="T37" s="7">
        <v>250.00000000000006</v>
      </c>
      <c r="U37" s="22" t="s">
        <v>41</v>
      </c>
      <c r="V37" s="9">
        <v>5850</v>
      </c>
      <c r="W37" s="9">
        <v>3900</v>
      </c>
      <c r="X37" s="9">
        <v>0</v>
      </c>
      <c r="Z37" s="9">
        <v>5850</v>
      </c>
      <c r="AA37" s="9">
        <v>3900</v>
      </c>
      <c r="AB37" s="9">
        <v>0</v>
      </c>
      <c r="AE37" s="16"/>
      <c r="AF37" s="16"/>
    </row>
    <row r="38" spans="1:34" s="9" customFormat="1" x14ac:dyDescent="0.2">
      <c r="A38" s="7" t="s">
        <v>82</v>
      </c>
      <c r="B38" s="7">
        <v>49.99999999999995</v>
      </c>
      <c r="C38" s="7">
        <v>599.99999999999886</v>
      </c>
      <c r="D38" s="7" t="s">
        <v>26</v>
      </c>
      <c r="E38" s="7" t="s">
        <v>26</v>
      </c>
      <c r="F38" s="23">
        <v>3</v>
      </c>
      <c r="G38" s="23">
        <v>5</v>
      </c>
      <c r="H38" s="23">
        <v>2</v>
      </c>
      <c r="I38" s="23" t="s">
        <v>79</v>
      </c>
      <c r="J38" s="23" t="s">
        <v>27</v>
      </c>
      <c r="K38" s="23" t="s">
        <v>80</v>
      </c>
      <c r="L38" s="23" t="s">
        <v>27</v>
      </c>
      <c r="M38" s="23" t="s">
        <v>78</v>
      </c>
      <c r="N38" s="23" t="s">
        <v>27</v>
      </c>
      <c r="O38" s="7">
        <v>99.999999999999901</v>
      </c>
      <c r="P38" s="7">
        <v>250.00000000000006</v>
      </c>
      <c r="Q38" s="7">
        <v>99.999999999999901</v>
      </c>
      <c r="R38" s="7">
        <v>250.00000000000006</v>
      </c>
      <c r="S38" s="7">
        <v>250.00000000000006</v>
      </c>
      <c r="T38" s="7">
        <v>250.00000000000006</v>
      </c>
      <c r="U38" s="22" t="s">
        <v>41</v>
      </c>
      <c r="V38" s="9">
        <v>3900</v>
      </c>
      <c r="W38" s="9">
        <v>5850</v>
      </c>
      <c r="X38" s="9">
        <v>0</v>
      </c>
      <c r="Z38" s="9">
        <v>3900</v>
      </c>
      <c r="AA38" s="9">
        <v>5850</v>
      </c>
      <c r="AB38" s="9">
        <v>0</v>
      </c>
      <c r="AC38" s="14"/>
      <c r="AE38" s="16"/>
      <c r="AF38" s="16"/>
    </row>
    <row r="39" spans="1:34" s="9" customFormat="1" x14ac:dyDescent="0.2">
      <c r="A39" s="23" t="s">
        <v>83</v>
      </c>
      <c r="B39" s="7">
        <v>49.99999999999995</v>
      </c>
      <c r="C39" s="7">
        <v>599.99999999999886</v>
      </c>
      <c r="D39" s="7" t="s">
        <v>26</v>
      </c>
      <c r="E39" s="7" t="s">
        <v>26</v>
      </c>
      <c r="F39" s="23">
        <v>3</v>
      </c>
      <c r="G39" s="23">
        <v>5</v>
      </c>
      <c r="H39" s="23">
        <v>2</v>
      </c>
      <c r="I39" s="23" t="s">
        <v>79</v>
      </c>
      <c r="J39" s="23" t="s">
        <v>27</v>
      </c>
      <c r="K39" s="23" t="s">
        <v>80</v>
      </c>
      <c r="L39" s="23" t="s">
        <v>27</v>
      </c>
      <c r="M39" s="23" t="s">
        <v>78</v>
      </c>
      <c r="N39" s="23" t="s">
        <v>27</v>
      </c>
      <c r="O39" s="7">
        <v>99.999999999999901</v>
      </c>
      <c r="P39" s="7">
        <v>250.00000000000006</v>
      </c>
      <c r="Q39" s="7">
        <v>99.999999999999901</v>
      </c>
      <c r="R39" s="7">
        <v>250.00000000000006</v>
      </c>
      <c r="S39" s="7">
        <v>250.00000000000006</v>
      </c>
      <c r="T39" s="7">
        <v>250.00000000000006</v>
      </c>
      <c r="U39" s="22" t="s">
        <v>41</v>
      </c>
      <c r="V39" s="9">
        <v>3900</v>
      </c>
      <c r="W39" s="9">
        <v>3900</v>
      </c>
      <c r="X39" s="9">
        <v>0</v>
      </c>
      <c r="Z39" s="9">
        <v>3900</v>
      </c>
      <c r="AA39" s="9">
        <v>3900</v>
      </c>
      <c r="AB39" s="9">
        <v>0</v>
      </c>
      <c r="AC39" s="14"/>
      <c r="AE39" s="16"/>
      <c r="AF39" s="16"/>
    </row>
    <row r="40" spans="1:34" s="9" customFormat="1" x14ac:dyDescent="0.2">
      <c r="A40" s="23" t="s">
        <v>84</v>
      </c>
      <c r="B40" s="13">
        <v>49.99999999999995</v>
      </c>
      <c r="C40" s="13">
        <v>599.99999999999886</v>
      </c>
      <c r="D40" s="7" t="s">
        <v>26</v>
      </c>
      <c r="E40" s="13" t="s">
        <v>26</v>
      </c>
      <c r="F40" s="23">
        <v>3</v>
      </c>
      <c r="G40" s="23">
        <v>5</v>
      </c>
      <c r="H40" s="23">
        <v>2</v>
      </c>
      <c r="I40" s="23" t="s">
        <v>79</v>
      </c>
      <c r="J40" s="24" t="s">
        <v>27</v>
      </c>
      <c r="K40" s="23" t="s">
        <v>80</v>
      </c>
      <c r="L40" s="24" t="s">
        <v>27</v>
      </c>
      <c r="M40" s="23" t="s">
        <v>78</v>
      </c>
      <c r="N40" s="24" t="s">
        <v>27</v>
      </c>
      <c r="O40" s="13">
        <v>99.999999999999901</v>
      </c>
      <c r="P40" s="13">
        <v>250.00000000000006</v>
      </c>
      <c r="Q40" s="13">
        <v>99.999999999999901</v>
      </c>
      <c r="R40" s="13">
        <v>250.00000000000006</v>
      </c>
      <c r="S40" s="13">
        <v>250.00000000000006</v>
      </c>
      <c r="T40" s="13">
        <v>250.00000000000006</v>
      </c>
      <c r="U40" s="22" t="s">
        <v>41</v>
      </c>
      <c r="V40" s="9">
        <v>3900</v>
      </c>
      <c r="W40" s="9">
        <v>3900</v>
      </c>
      <c r="X40" s="9">
        <v>0</v>
      </c>
      <c r="Y40" s="14"/>
      <c r="Z40" s="9">
        <v>3900</v>
      </c>
      <c r="AA40" s="9">
        <v>3900</v>
      </c>
      <c r="AB40" s="9">
        <v>0</v>
      </c>
      <c r="AE40" s="16"/>
      <c r="AF40" s="16"/>
    </row>
    <row r="41" spans="1:34" x14ac:dyDescent="0.2">
      <c r="A41" s="23" t="s">
        <v>85</v>
      </c>
      <c r="B41" s="7">
        <v>49.99999999999995</v>
      </c>
      <c r="C41" s="7">
        <v>599.99999999999886</v>
      </c>
      <c r="D41" s="7" t="s">
        <v>26</v>
      </c>
      <c r="E41" s="7" t="s">
        <v>26</v>
      </c>
      <c r="F41" s="23">
        <v>3</v>
      </c>
      <c r="G41" s="23">
        <v>5</v>
      </c>
      <c r="H41" s="23">
        <v>2</v>
      </c>
      <c r="I41" s="23" t="s">
        <v>79</v>
      </c>
      <c r="J41" s="23" t="s">
        <v>27</v>
      </c>
      <c r="K41" s="23" t="s">
        <v>80</v>
      </c>
      <c r="L41" s="23" t="s">
        <v>27</v>
      </c>
      <c r="M41" s="23" t="s">
        <v>78</v>
      </c>
      <c r="N41" s="23" t="s">
        <v>27</v>
      </c>
      <c r="O41" s="7">
        <v>99.999999999999901</v>
      </c>
      <c r="P41" s="7">
        <v>250.00000000000006</v>
      </c>
      <c r="Q41" s="7">
        <v>99.999999999999901</v>
      </c>
      <c r="R41" s="7">
        <v>250.00000000000006</v>
      </c>
      <c r="S41" s="7">
        <v>250.00000000000006</v>
      </c>
      <c r="T41" s="7">
        <v>250.00000000000006</v>
      </c>
      <c r="U41" s="22" t="s">
        <v>41</v>
      </c>
      <c r="V41">
        <v>3400</v>
      </c>
      <c r="W41" s="9">
        <v>2300</v>
      </c>
      <c r="X41">
        <v>6000</v>
      </c>
      <c r="Z41">
        <v>3400</v>
      </c>
      <c r="AA41">
        <v>2300</v>
      </c>
      <c r="AB41">
        <v>6000</v>
      </c>
      <c r="AC41" s="15"/>
      <c r="AD41" s="9"/>
      <c r="AE41" s="16"/>
      <c r="AF41" s="16"/>
      <c r="AG41"/>
      <c r="AH41" s="9"/>
    </row>
    <row r="42" spans="1:34" x14ac:dyDescent="0.2">
      <c r="A42" s="23" t="s">
        <v>86</v>
      </c>
      <c r="B42" s="7">
        <v>49.99999999999995</v>
      </c>
      <c r="C42" s="7">
        <v>599.99999999999886</v>
      </c>
      <c r="D42" s="7" t="s">
        <v>26</v>
      </c>
      <c r="E42" s="7" t="s">
        <v>26</v>
      </c>
      <c r="F42" s="23">
        <v>3</v>
      </c>
      <c r="G42" s="23">
        <v>5</v>
      </c>
      <c r="H42" s="23">
        <v>2</v>
      </c>
      <c r="I42" s="23" t="s">
        <v>79</v>
      </c>
      <c r="J42" s="23" t="s">
        <v>27</v>
      </c>
      <c r="K42" s="23" t="s">
        <v>80</v>
      </c>
      <c r="L42" s="23" t="s">
        <v>27</v>
      </c>
      <c r="M42" s="23" t="s">
        <v>78</v>
      </c>
      <c r="N42" s="23" t="s">
        <v>27</v>
      </c>
      <c r="O42" s="7">
        <v>99.999999999999901</v>
      </c>
      <c r="P42" s="7">
        <v>250.00000000000006</v>
      </c>
      <c r="Q42" s="7">
        <v>99.999999999999901</v>
      </c>
      <c r="R42" s="7">
        <v>250.00000000000006</v>
      </c>
      <c r="S42" s="7">
        <v>250.00000000000006</v>
      </c>
      <c r="T42" s="7">
        <v>250.00000000000006</v>
      </c>
      <c r="U42" s="22" t="s">
        <v>41</v>
      </c>
      <c r="V42">
        <v>3900</v>
      </c>
      <c r="W42">
        <v>3900</v>
      </c>
      <c r="X42">
        <v>0</v>
      </c>
      <c r="Z42">
        <v>3900</v>
      </c>
      <c r="AA42">
        <v>3900</v>
      </c>
      <c r="AB42">
        <v>0</v>
      </c>
      <c r="AD42" s="9"/>
      <c r="AE42" s="16"/>
      <c r="AF42" s="16"/>
      <c r="AG42"/>
      <c r="AH42" s="9"/>
    </row>
    <row r="43" spans="1:34" x14ac:dyDescent="0.2">
      <c r="A43" s="23" t="s">
        <v>87</v>
      </c>
      <c r="B43" s="7">
        <v>49.99999999999995</v>
      </c>
      <c r="C43" s="7">
        <v>599.99999999999886</v>
      </c>
      <c r="D43" s="7" t="s">
        <v>26</v>
      </c>
      <c r="E43" s="7" t="s">
        <v>26</v>
      </c>
      <c r="F43" s="23">
        <v>3</v>
      </c>
      <c r="G43" s="23">
        <v>5</v>
      </c>
      <c r="H43" s="23">
        <v>2</v>
      </c>
      <c r="I43" s="23" t="s">
        <v>79</v>
      </c>
      <c r="J43" s="23" t="s">
        <v>27</v>
      </c>
      <c r="K43" s="23" t="s">
        <v>80</v>
      </c>
      <c r="L43" s="23" t="s">
        <v>27</v>
      </c>
      <c r="M43" s="23" t="s">
        <v>78</v>
      </c>
      <c r="N43" s="23" t="s">
        <v>27</v>
      </c>
      <c r="O43" s="7">
        <v>99.999999999999901</v>
      </c>
      <c r="P43" s="7">
        <v>250.00000000000006</v>
      </c>
      <c r="Q43" s="7">
        <v>99.999999999999901</v>
      </c>
      <c r="R43" s="7">
        <v>250.00000000000006</v>
      </c>
      <c r="S43" s="7">
        <v>250.00000000000006</v>
      </c>
      <c r="T43" s="7">
        <v>250.00000000000006</v>
      </c>
      <c r="U43" s="22" t="s">
        <v>41</v>
      </c>
      <c r="V43">
        <v>3900</v>
      </c>
      <c r="W43">
        <v>3900</v>
      </c>
      <c r="X43">
        <v>0</v>
      </c>
      <c r="Z43">
        <v>3900</v>
      </c>
      <c r="AA43">
        <v>3900</v>
      </c>
      <c r="AB43">
        <v>0</v>
      </c>
      <c r="AC43" s="15"/>
      <c r="AD43" s="9"/>
      <c r="AE43" s="16"/>
      <c r="AF43" s="16"/>
      <c r="AG43"/>
      <c r="AH43" s="9"/>
    </row>
    <row r="44" spans="1:34" x14ac:dyDescent="0.2">
      <c r="A44" s="23" t="s">
        <v>88</v>
      </c>
      <c r="B44" s="23">
        <v>49.99999999999995</v>
      </c>
      <c r="C44" s="23">
        <v>599.99999999999886</v>
      </c>
      <c r="D44" s="23" t="s">
        <v>26</v>
      </c>
      <c r="E44" s="23" t="s">
        <v>26</v>
      </c>
      <c r="F44" s="23">
        <v>3</v>
      </c>
      <c r="G44" s="23">
        <v>5</v>
      </c>
      <c r="H44" s="23">
        <v>2</v>
      </c>
      <c r="I44" s="23" t="s">
        <v>79</v>
      </c>
      <c r="J44" s="23" t="s">
        <v>27</v>
      </c>
      <c r="K44" s="23" t="s">
        <v>80</v>
      </c>
      <c r="L44" s="23" t="s">
        <v>27</v>
      </c>
      <c r="M44" s="23" t="s">
        <v>78</v>
      </c>
      <c r="N44" s="23" t="s">
        <v>27</v>
      </c>
      <c r="O44" s="7">
        <v>99.999999999999901</v>
      </c>
      <c r="P44" s="7">
        <v>250.00000000000006</v>
      </c>
      <c r="Q44" s="7">
        <v>99.999999999999901</v>
      </c>
      <c r="R44" s="7">
        <v>250.00000000000006</v>
      </c>
      <c r="S44" s="7">
        <v>250.00000000000006</v>
      </c>
      <c r="T44" s="7">
        <v>250.00000000000006</v>
      </c>
      <c r="U44" s="22" t="s">
        <v>41</v>
      </c>
      <c r="V44">
        <v>3900</v>
      </c>
      <c r="W44">
        <v>3900</v>
      </c>
      <c r="X44">
        <v>0</v>
      </c>
      <c r="Y44" s="15"/>
      <c r="Z44">
        <v>3900</v>
      </c>
      <c r="AA44">
        <v>3900</v>
      </c>
      <c r="AB44">
        <v>0</v>
      </c>
      <c r="AC44" s="15"/>
      <c r="AD44" s="9"/>
      <c r="AE44" s="16"/>
      <c r="AF44" s="16"/>
      <c r="AG44"/>
      <c r="AH44" s="9"/>
    </row>
    <row r="45" spans="1:34" x14ac:dyDescent="0.2">
      <c r="A45" s="23" t="s">
        <v>89</v>
      </c>
      <c r="B45" s="23">
        <v>49.99999999999995</v>
      </c>
      <c r="C45" s="23">
        <v>599.99999999999886</v>
      </c>
      <c r="D45" s="23" t="s">
        <v>26</v>
      </c>
      <c r="E45" s="23" t="s">
        <v>26</v>
      </c>
      <c r="F45" s="23">
        <v>3</v>
      </c>
      <c r="G45" s="23">
        <v>5</v>
      </c>
      <c r="H45" s="23">
        <v>2</v>
      </c>
      <c r="I45" s="23" t="s">
        <v>79</v>
      </c>
      <c r="J45" s="23" t="s">
        <v>27</v>
      </c>
      <c r="K45" s="23" t="s">
        <v>80</v>
      </c>
      <c r="L45" s="23" t="s">
        <v>27</v>
      </c>
      <c r="M45" s="23" t="s">
        <v>78</v>
      </c>
      <c r="N45" s="23" t="s">
        <v>27</v>
      </c>
      <c r="O45" s="7">
        <v>99.999999999999901</v>
      </c>
      <c r="P45" s="7">
        <v>250.00000000000006</v>
      </c>
      <c r="Q45" s="7">
        <v>99.999999999999901</v>
      </c>
      <c r="R45" s="7">
        <v>250.00000000000006</v>
      </c>
      <c r="S45" s="7">
        <v>250.00000000000006</v>
      </c>
      <c r="T45" s="7">
        <v>250.00000000000006</v>
      </c>
      <c r="U45" s="22" t="s">
        <v>41</v>
      </c>
      <c r="V45">
        <v>3900</v>
      </c>
      <c r="W45">
        <v>3900</v>
      </c>
      <c r="X45">
        <v>0</v>
      </c>
      <c r="Y45" s="15"/>
      <c r="Z45">
        <v>3900</v>
      </c>
      <c r="AA45">
        <v>3900</v>
      </c>
      <c r="AB45">
        <v>0</v>
      </c>
      <c r="AC45" s="15"/>
      <c r="AD45" s="9"/>
      <c r="AE45" s="16"/>
      <c r="AF45" s="16"/>
      <c r="AG45"/>
      <c r="AH45" s="9"/>
    </row>
    <row r="46" spans="1:34" x14ac:dyDescent="0.2">
      <c r="A46" s="23" t="s">
        <v>90</v>
      </c>
      <c r="B46" s="23">
        <v>49.99999999999995</v>
      </c>
      <c r="C46" s="23">
        <v>599.99999999999886</v>
      </c>
      <c r="D46" s="23" t="s">
        <v>26</v>
      </c>
      <c r="E46" s="23" t="s">
        <v>26</v>
      </c>
      <c r="F46" s="23">
        <v>3</v>
      </c>
      <c r="G46" s="23">
        <v>5</v>
      </c>
      <c r="H46" s="23">
        <v>2</v>
      </c>
      <c r="I46" s="23" t="s">
        <v>79</v>
      </c>
      <c r="J46" s="23" t="s">
        <v>27</v>
      </c>
      <c r="K46" s="23" t="s">
        <v>80</v>
      </c>
      <c r="L46" s="23" t="s">
        <v>27</v>
      </c>
      <c r="M46" s="23" t="s">
        <v>78</v>
      </c>
      <c r="N46" s="23" t="s">
        <v>27</v>
      </c>
      <c r="O46" s="7">
        <v>99.999999999999901</v>
      </c>
      <c r="P46" s="7">
        <v>250.00000000000006</v>
      </c>
      <c r="Q46" s="7">
        <v>99.999999999999901</v>
      </c>
      <c r="R46" s="7">
        <v>250.00000000000006</v>
      </c>
      <c r="S46" s="7">
        <v>250.00000000000006</v>
      </c>
      <c r="T46" s="7">
        <v>250.00000000000006</v>
      </c>
      <c r="U46" s="22" t="s">
        <v>41</v>
      </c>
      <c r="V46">
        <v>3900</v>
      </c>
      <c r="W46">
        <v>5850</v>
      </c>
      <c r="X46">
        <v>0</v>
      </c>
      <c r="Y46" s="15"/>
      <c r="Z46">
        <v>3900</v>
      </c>
      <c r="AA46">
        <v>5850</v>
      </c>
      <c r="AB46">
        <v>0</v>
      </c>
      <c r="AD46" s="9"/>
      <c r="AE46" s="16"/>
      <c r="AF46" s="16"/>
      <c r="AG46"/>
      <c r="AH46" s="9"/>
    </row>
    <row r="47" spans="1:34" x14ac:dyDescent="0.2">
      <c r="A47" s="23" t="s">
        <v>91</v>
      </c>
      <c r="B47" s="23">
        <v>49.99999999999995</v>
      </c>
      <c r="C47" s="23">
        <v>599.99999999999886</v>
      </c>
      <c r="D47" s="23" t="s">
        <v>26</v>
      </c>
      <c r="E47" s="23" t="s">
        <v>26</v>
      </c>
      <c r="F47" s="23">
        <v>3</v>
      </c>
      <c r="G47" s="23">
        <v>5</v>
      </c>
      <c r="H47" s="23">
        <v>2</v>
      </c>
      <c r="I47" s="23" t="s">
        <v>79</v>
      </c>
      <c r="J47" s="23" t="s">
        <v>27</v>
      </c>
      <c r="K47" s="23" t="s">
        <v>80</v>
      </c>
      <c r="L47" s="23" t="s">
        <v>27</v>
      </c>
      <c r="M47" s="23" t="s">
        <v>78</v>
      </c>
      <c r="N47" s="23" t="s">
        <v>27</v>
      </c>
      <c r="O47" s="7">
        <v>99.999999999999901</v>
      </c>
      <c r="P47" s="7">
        <v>250.00000000000006</v>
      </c>
      <c r="Q47" s="7">
        <v>99.999999999999901</v>
      </c>
      <c r="R47" s="7">
        <v>250.00000000000006</v>
      </c>
      <c r="S47" s="7">
        <v>250.00000000000006</v>
      </c>
      <c r="T47" s="7">
        <v>250.00000000000006</v>
      </c>
      <c r="U47" s="22" t="s">
        <v>41</v>
      </c>
      <c r="V47">
        <v>3900</v>
      </c>
      <c r="W47">
        <v>3900</v>
      </c>
      <c r="X47">
        <v>0</v>
      </c>
      <c r="Z47">
        <v>3900</v>
      </c>
      <c r="AA47">
        <v>3900</v>
      </c>
      <c r="AB47">
        <v>0</v>
      </c>
      <c r="AD47" s="9"/>
      <c r="AE47" s="16"/>
      <c r="AF47" s="16"/>
      <c r="AG47"/>
      <c r="AH47" s="9"/>
    </row>
    <row r="48" spans="1:34" x14ac:dyDescent="0.2">
      <c r="A48" s="23" t="s">
        <v>92</v>
      </c>
      <c r="B48" s="23">
        <v>49.99999999999995</v>
      </c>
      <c r="C48" s="23">
        <v>599.99999999999886</v>
      </c>
      <c r="D48" s="23" t="s">
        <v>26</v>
      </c>
      <c r="E48" s="23" t="s">
        <v>26</v>
      </c>
      <c r="F48" s="23">
        <v>3</v>
      </c>
      <c r="G48" s="23">
        <v>5</v>
      </c>
      <c r="H48" s="23">
        <v>2</v>
      </c>
      <c r="I48" s="23" t="s">
        <v>79</v>
      </c>
      <c r="J48" s="23" t="s">
        <v>27</v>
      </c>
      <c r="K48" s="23" t="s">
        <v>80</v>
      </c>
      <c r="L48" s="23" t="s">
        <v>27</v>
      </c>
      <c r="M48" s="23" t="s">
        <v>78</v>
      </c>
      <c r="N48" s="23" t="s">
        <v>27</v>
      </c>
      <c r="O48" s="7">
        <v>99.999999999999901</v>
      </c>
      <c r="P48" s="7">
        <v>250.00000000000006</v>
      </c>
      <c r="Q48" s="7">
        <v>99.999999999999901</v>
      </c>
      <c r="R48" s="7">
        <v>250.00000000000006</v>
      </c>
      <c r="S48" s="7">
        <v>250.00000000000006</v>
      </c>
      <c r="T48" s="7">
        <v>250.00000000000006</v>
      </c>
      <c r="U48" s="22" t="s">
        <v>41</v>
      </c>
      <c r="V48">
        <v>3900</v>
      </c>
      <c r="W48">
        <v>3900</v>
      </c>
      <c r="X48">
        <v>0</v>
      </c>
      <c r="Z48">
        <v>3900</v>
      </c>
      <c r="AA48">
        <v>3900</v>
      </c>
      <c r="AB48">
        <v>0</v>
      </c>
      <c r="AD48" s="9"/>
      <c r="AE48" s="16"/>
      <c r="AF48" s="16"/>
      <c r="AG48"/>
      <c r="AH48" s="9"/>
    </row>
    <row r="49" spans="1:34" x14ac:dyDescent="0.2">
      <c r="A49" s="23" t="s">
        <v>93</v>
      </c>
      <c r="B49" s="23">
        <v>49.99999999999995</v>
      </c>
      <c r="C49" s="23">
        <v>599.99999999999886</v>
      </c>
      <c r="D49" s="23" t="s">
        <v>26</v>
      </c>
      <c r="E49" s="23" t="s">
        <v>26</v>
      </c>
      <c r="F49" s="23">
        <v>3</v>
      </c>
      <c r="G49" s="23">
        <v>5</v>
      </c>
      <c r="H49" s="23">
        <v>2</v>
      </c>
      <c r="I49" s="23" t="s">
        <v>79</v>
      </c>
      <c r="J49" s="23" t="s">
        <v>27</v>
      </c>
      <c r="K49" s="23" t="s">
        <v>80</v>
      </c>
      <c r="L49" s="23" t="s">
        <v>27</v>
      </c>
      <c r="M49" s="23" t="s">
        <v>78</v>
      </c>
      <c r="N49" s="23" t="s">
        <v>27</v>
      </c>
      <c r="O49" s="7">
        <v>99.999999999999901</v>
      </c>
      <c r="P49" s="7">
        <v>250.00000000000006</v>
      </c>
      <c r="Q49" s="7">
        <v>99.999999999999901</v>
      </c>
      <c r="R49" s="7">
        <v>250.00000000000006</v>
      </c>
      <c r="S49" s="7">
        <v>250.00000000000006</v>
      </c>
      <c r="T49" s="7">
        <v>250.00000000000006</v>
      </c>
      <c r="U49" s="22" t="s">
        <v>41</v>
      </c>
      <c r="V49">
        <v>3900</v>
      </c>
      <c r="W49">
        <v>3900</v>
      </c>
      <c r="X49">
        <v>0</v>
      </c>
      <c r="Z49">
        <v>3900</v>
      </c>
      <c r="AA49">
        <v>3900</v>
      </c>
      <c r="AB49">
        <v>0</v>
      </c>
      <c r="AD49" s="9"/>
      <c r="AE49" s="16"/>
      <c r="AF49" s="16"/>
      <c r="AG49"/>
      <c r="AH49" s="9"/>
    </row>
    <row r="50" spans="1:34" x14ac:dyDescent="0.2">
      <c r="A50" s="23" t="s">
        <v>94</v>
      </c>
      <c r="B50" s="23">
        <v>49.99999999999995</v>
      </c>
      <c r="C50" s="23">
        <v>599.99999999999886</v>
      </c>
      <c r="D50" s="23" t="s">
        <v>26</v>
      </c>
      <c r="E50" s="23" t="s">
        <v>26</v>
      </c>
      <c r="F50" s="23">
        <v>3</v>
      </c>
      <c r="G50" s="23">
        <v>5</v>
      </c>
      <c r="H50" s="23">
        <v>2</v>
      </c>
      <c r="I50" s="23" t="s">
        <v>79</v>
      </c>
      <c r="J50" s="23" t="s">
        <v>27</v>
      </c>
      <c r="K50" s="23" t="s">
        <v>80</v>
      </c>
      <c r="L50" s="23" t="s">
        <v>27</v>
      </c>
      <c r="M50" s="23" t="s">
        <v>78</v>
      </c>
      <c r="N50" s="23" t="s">
        <v>27</v>
      </c>
      <c r="O50" s="7">
        <v>99.999999999999901</v>
      </c>
      <c r="P50" s="7">
        <v>250.00000000000006</v>
      </c>
      <c r="Q50" s="7">
        <v>99.999999999999901</v>
      </c>
      <c r="R50" s="7">
        <v>250.00000000000006</v>
      </c>
      <c r="S50" s="7">
        <v>250.00000000000006</v>
      </c>
      <c r="T50" s="7">
        <v>250.00000000000006</v>
      </c>
      <c r="U50" s="22" t="s">
        <v>41</v>
      </c>
      <c r="V50">
        <v>5850</v>
      </c>
      <c r="W50">
        <v>3900</v>
      </c>
      <c r="X50">
        <v>0</v>
      </c>
      <c r="Y50" s="15"/>
      <c r="Z50">
        <v>5850</v>
      </c>
      <c r="AA50">
        <v>3900</v>
      </c>
      <c r="AB50">
        <v>0</v>
      </c>
      <c r="AD50" s="9"/>
      <c r="AE50" s="16"/>
      <c r="AF50" s="16"/>
      <c r="AG50"/>
      <c r="AH50" s="9"/>
    </row>
    <row r="51" spans="1:34" x14ac:dyDescent="0.2">
      <c r="A51" s="23" t="s">
        <v>95</v>
      </c>
      <c r="B51" s="23">
        <v>49.99999999999995</v>
      </c>
      <c r="C51" s="23">
        <v>599.99999999999886</v>
      </c>
      <c r="D51" s="23" t="s">
        <v>26</v>
      </c>
      <c r="E51" s="23" t="s">
        <v>26</v>
      </c>
      <c r="F51" s="23">
        <v>3</v>
      </c>
      <c r="G51" s="23">
        <v>5</v>
      </c>
      <c r="H51" s="23">
        <v>2</v>
      </c>
      <c r="I51" s="23" t="s">
        <v>79</v>
      </c>
      <c r="J51" s="23" t="s">
        <v>27</v>
      </c>
      <c r="K51" s="23" t="s">
        <v>80</v>
      </c>
      <c r="L51" s="23" t="s">
        <v>27</v>
      </c>
      <c r="M51" s="23" t="s">
        <v>78</v>
      </c>
      <c r="N51" s="23" t="s">
        <v>27</v>
      </c>
      <c r="O51" s="7">
        <v>99.999999999999901</v>
      </c>
      <c r="P51" s="7">
        <v>250.00000000000006</v>
      </c>
      <c r="Q51" s="7">
        <v>99.999999999999901</v>
      </c>
      <c r="R51" s="7">
        <v>250.00000000000006</v>
      </c>
      <c r="S51" s="7">
        <v>250.00000000000006</v>
      </c>
      <c r="T51" s="7">
        <v>250.00000000000006</v>
      </c>
      <c r="U51" s="22" t="s">
        <v>41</v>
      </c>
      <c r="V51">
        <v>3900</v>
      </c>
      <c r="W51">
        <v>3900</v>
      </c>
      <c r="X51">
        <v>0</v>
      </c>
      <c r="Z51">
        <v>3900</v>
      </c>
      <c r="AA51">
        <v>3900</v>
      </c>
      <c r="AB51">
        <v>0</v>
      </c>
      <c r="AC51" s="15"/>
      <c r="AD51" s="9"/>
      <c r="AE51" s="16"/>
      <c r="AF51" s="16"/>
      <c r="AG51"/>
      <c r="AH51" s="9"/>
    </row>
    <row r="52" spans="1:34" x14ac:dyDescent="0.2">
      <c r="A52" s="23" t="s">
        <v>96</v>
      </c>
      <c r="B52" s="23">
        <v>49.99999999999995</v>
      </c>
      <c r="C52" s="23">
        <v>599.99999999999886</v>
      </c>
      <c r="D52" s="23" t="s">
        <v>26</v>
      </c>
      <c r="E52" s="23" t="s">
        <v>26</v>
      </c>
      <c r="F52" s="23">
        <v>3</v>
      </c>
      <c r="G52" s="23">
        <v>5</v>
      </c>
      <c r="H52" s="23">
        <v>2</v>
      </c>
      <c r="I52" s="23" t="s">
        <v>79</v>
      </c>
      <c r="J52" s="23" t="s">
        <v>27</v>
      </c>
      <c r="K52" s="23" t="s">
        <v>80</v>
      </c>
      <c r="L52" s="23" t="s">
        <v>27</v>
      </c>
      <c r="M52" s="23" t="s">
        <v>78</v>
      </c>
      <c r="N52" s="23" t="s">
        <v>27</v>
      </c>
      <c r="O52" s="7">
        <v>99.999999999999901</v>
      </c>
      <c r="P52" s="7">
        <v>250.00000000000006</v>
      </c>
      <c r="Q52" s="7">
        <v>99.999999999999901</v>
      </c>
      <c r="R52" s="7">
        <v>250.00000000000006</v>
      </c>
      <c r="S52" s="7">
        <v>250.00000000000006</v>
      </c>
      <c r="T52" s="7">
        <v>250.00000000000006</v>
      </c>
      <c r="U52" s="22" t="s">
        <v>41</v>
      </c>
      <c r="V52">
        <v>3900</v>
      </c>
      <c r="W52">
        <v>3900</v>
      </c>
      <c r="X52">
        <v>0</v>
      </c>
      <c r="Z52">
        <v>3900</v>
      </c>
      <c r="AA52">
        <v>3900</v>
      </c>
      <c r="AB52">
        <v>0</v>
      </c>
      <c r="AD52" s="9"/>
      <c r="AE52" s="16"/>
      <c r="AF52" s="16"/>
      <c r="AG52"/>
      <c r="AH52" s="9"/>
    </row>
    <row r="53" spans="1:34" x14ac:dyDescent="0.2">
      <c r="A53" s="6" t="s">
        <v>97</v>
      </c>
      <c r="B53" s="23">
        <v>49.99999999999995</v>
      </c>
      <c r="C53" s="23">
        <v>599.99999999999886</v>
      </c>
      <c r="D53" s="23" t="s">
        <v>26</v>
      </c>
      <c r="E53" s="23" t="s">
        <v>26</v>
      </c>
      <c r="F53" s="23">
        <v>3</v>
      </c>
      <c r="G53" s="23">
        <v>5</v>
      </c>
      <c r="H53" s="23">
        <v>2</v>
      </c>
      <c r="I53" s="7" t="s">
        <v>79</v>
      </c>
      <c r="J53" s="7" t="s">
        <v>27</v>
      </c>
      <c r="K53" s="7" t="s">
        <v>80</v>
      </c>
      <c r="L53" s="7" t="s">
        <v>27</v>
      </c>
      <c r="M53" s="7" t="s">
        <v>78</v>
      </c>
      <c r="N53" s="7" t="s">
        <v>27</v>
      </c>
      <c r="O53" s="7">
        <v>99.999999999999901</v>
      </c>
      <c r="P53" s="7">
        <v>250.00000000000006</v>
      </c>
      <c r="Q53" s="7">
        <v>99.999999999999901</v>
      </c>
      <c r="R53" s="7">
        <v>250.00000000000006</v>
      </c>
      <c r="S53" s="7">
        <v>250.00000000000006</v>
      </c>
      <c r="T53" s="7">
        <v>250.00000000000006</v>
      </c>
      <c r="U53" s="22" t="s">
        <v>41</v>
      </c>
      <c r="V53">
        <v>3900</v>
      </c>
      <c r="W53">
        <v>3900</v>
      </c>
      <c r="X53">
        <v>0</v>
      </c>
      <c r="Z53">
        <v>3900</v>
      </c>
      <c r="AA53">
        <v>3900</v>
      </c>
      <c r="AB53">
        <v>0</v>
      </c>
      <c r="AD53" s="9"/>
      <c r="AE53" s="16"/>
      <c r="AF53" s="16"/>
      <c r="AG53"/>
    </row>
    <row r="54" spans="1:34" x14ac:dyDescent="0.2">
      <c r="A54" s="6" t="s">
        <v>98</v>
      </c>
      <c r="B54" s="7">
        <v>49.99999999999995</v>
      </c>
      <c r="C54" s="7">
        <v>599.99999999999886</v>
      </c>
      <c r="D54" s="7" t="s">
        <v>26</v>
      </c>
      <c r="E54" s="7" t="s">
        <v>26</v>
      </c>
      <c r="F54" s="23">
        <v>3</v>
      </c>
      <c r="G54" s="23">
        <v>5</v>
      </c>
      <c r="H54" s="23">
        <v>2</v>
      </c>
      <c r="I54" s="7" t="s">
        <v>79</v>
      </c>
      <c r="J54" s="7" t="s">
        <v>27</v>
      </c>
      <c r="K54" s="7" t="s">
        <v>80</v>
      </c>
      <c r="L54" s="7" t="s">
        <v>27</v>
      </c>
      <c r="M54" s="7" t="s">
        <v>78</v>
      </c>
      <c r="N54" s="7" t="s">
        <v>27</v>
      </c>
      <c r="O54" s="7">
        <v>99.999999999999901</v>
      </c>
      <c r="P54" s="7">
        <v>250.00000000000006</v>
      </c>
      <c r="Q54" s="7">
        <v>99.999999999999901</v>
      </c>
      <c r="R54" s="7">
        <v>250.00000000000006</v>
      </c>
      <c r="S54" s="7">
        <v>250.00000000000006</v>
      </c>
      <c r="T54" s="7">
        <v>250.00000000000006</v>
      </c>
      <c r="U54" s="22" t="s">
        <v>41</v>
      </c>
      <c r="V54">
        <v>3900</v>
      </c>
      <c r="W54">
        <v>3900</v>
      </c>
      <c r="X54">
        <v>0</v>
      </c>
      <c r="Z54">
        <v>3900</v>
      </c>
      <c r="AA54">
        <v>3900</v>
      </c>
      <c r="AB54">
        <v>0</v>
      </c>
      <c r="AD54" s="9"/>
      <c r="AE54" s="16"/>
      <c r="AF54" s="16"/>
      <c r="AG54"/>
    </row>
    <row r="55" spans="1:34" x14ac:dyDescent="0.2">
      <c r="A55" s="6" t="s">
        <v>99</v>
      </c>
      <c r="B55" s="7">
        <v>49.99999999999995</v>
      </c>
      <c r="C55" s="7">
        <v>599.99999999999886</v>
      </c>
      <c r="D55" s="7" t="s">
        <v>26</v>
      </c>
      <c r="E55" s="7" t="s">
        <v>26</v>
      </c>
      <c r="F55" s="23">
        <v>3</v>
      </c>
      <c r="G55" s="23">
        <v>5</v>
      </c>
      <c r="H55" s="23">
        <v>2</v>
      </c>
      <c r="I55" s="7" t="s">
        <v>79</v>
      </c>
      <c r="J55" s="7" t="s">
        <v>27</v>
      </c>
      <c r="K55" s="7" t="s">
        <v>80</v>
      </c>
      <c r="L55" s="7" t="s">
        <v>27</v>
      </c>
      <c r="M55" s="7" t="s">
        <v>78</v>
      </c>
      <c r="N55" s="7" t="s">
        <v>27</v>
      </c>
      <c r="O55" s="7">
        <v>99.999999999999901</v>
      </c>
      <c r="P55" s="7">
        <v>250.00000000000006</v>
      </c>
      <c r="Q55" s="7">
        <v>99.999999999999901</v>
      </c>
      <c r="R55" s="7">
        <v>250.00000000000006</v>
      </c>
      <c r="S55" s="7">
        <v>250.00000000000006</v>
      </c>
      <c r="T55" s="7">
        <v>250.00000000000006</v>
      </c>
      <c r="U55" s="22" t="s">
        <v>41</v>
      </c>
      <c r="V55">
        <v>3075</v>
      </c>
      <c r="W55">
        <v>5700</v>
      </c>
      <c r="X55">
        <v>0</v>
      </c>
      <c r="Y55" t="s">
        <v>120</v>
      </c>
      <c r="Z55">
        <v>3075</v>
      </c>
      <c r="AA55">
        <v>5700</v>
      </c>
      <c r="AB55">
        <v>0</v>
      </c>
      <c r="AC55" t="s">
        <v>120</v>
      </c>
      <c r="AD55" s="9"/>
      <c r="AE55" s="16"/>
      <c r="AF55" s="16"/>
      <c r="AG55"/>
    </row>
    <row r="56" spans="1:34" x14ac:dyDescent="0.2">
      <c r="A56" s="6" t="s">
        <v>100</v>
      </c>
      <c r="B56" s="7">
        <v>49.99999999999995</v>
      </c>
      <c r="C56" s="7">
        <v>599.99999999999886</v>
      </c>
      <c r="D56" s="7" t="s">
        <v>26</v>
      </c>
      <c r="E56" s="7" t="s">
        <v>26</v>
      </c>
      <c r="F56" s="23">
        <v>3</v>
      </c>
      <c r="G56" s="23">
        <v>5</v>
      </c>
      <c r="H56" s="23">
        <v>2</v>
      </c>
      <c r="I56" s="7" t="s">
        <v>79</v>
      </c>
      <c r="J56" s="7" t="s">
        <v>27</v>
      </c>
      <c r="K56" s="7" t="s">
        <v>80</v>
      </c>
      <c r="L56" s="7" t="s">
        <v>27</v>
      </c>
      <c r="M56" s="7" t="s">
        <v>78</v>
      </c>
      <c r="N56" s="7" t="s">
        <v>27</v>
      </c>
      <c r="O56" s="7">
        <v>99.999999999999901</v>
      </c>
      <c r="P56" s="7">
        <v>250.00000000000006</v>
      </c>
      <c r="Q56" s="7">
        <v>99.999999999999901</v>
      </c>
      <c r="R56" s="7">
        <v>250.00000000000006</v>
      </c>
      <c r="S56" s="7">
        <v>250.00000000000006</v>
      </c>
      <c r="T56" s="7">
        <v>250.00000000000006</v>
      </c>
      <c r="U56" s="22" t="s">
        <v>41</v>
      </c>
      <c r="V56">
        <v>5850</v>
      </c>
      <c r="W56">
        <v>2925</v>
      </c>
      <c r="X56">
        <v>0</v>
      </c>
      <c r="Y56" s="15" t="s">
        <v>121</v>
      </c>
      <c r="Z56">
        <v>5850</v>
      </c>
      <c r="AA56">
        <v>2925</v>
      </c>
      <c r="AB56">
        <v>0</v>
      </c>
      <c r="AC56" t="s">
        <v>121</v>
      </c>
      <c r="AD56" s="9"/>
      <c r="AE56" s="16"/>
      <c r="AF56" s="16"/>
      <c r="AG56"/>
    </row>
    <row r="57" spans="1:34" x14ac:dyDescent="0.2">
      <c r="A57" s="6" t="s">
        <v>99</v>
      </c>
      <c r="B57" s="7">
        <v>49.99999999999995</v>
      </c>
      <c r="C57" s="7">
        <v>599.99999999999886</v>
      </c>
      <c r="D57" s="7" t="s">
        <v>26</v>
      </c>
      <c r="E57" s="7" t="s">
        <v>26</v>
      </c>
      <c r="F57" s="23">
        <v>3</v>
      </c>
      <c r="G57" s="23">
        <v>5</v>
      </c>
      <c r="H57" s="23">
        <v>2</v>
      </c>
      <c r="I57" s="7" t="s">
        <v>79</v>
      </c>
      <c r="J57" s="7" t="s">
        <v>27</v>
      </c>
      <c r="K57" s="7" t="s">
        <v>80</v>
      </c>
      <c r="L57" s="7" t="s">
        <v>27</v>
      </c>
      <c r="M57" s="7" t="s">
        <v>78</v>
      </c>
      <c r="N57" s="7" t="s">
        <v>27</v>
      </c>
      <c r="O57" s="7">
        <v>99.999999999999901</v>
      </c>
      <c r="P57" s="7">
        <v>250.00000000000006</v>
      </c>
      <c r="Q57" s="7">
        <v>99.999999999999901</v>
      </c>
      <c r="R57" s="7">
        <v>250.00000000000006</v>
      </c>
      <c r="S57" s="7">
        <v>250.00000000000006</v>
      </c>
      <c r="T57" s="7">
        <v>250.00000000000006</v>
      </c>
      <c r="U57" s="22" t="s">
        <v>41</v>
      </c>
      <c r="V57">
        <v>3900</v>
      </c>
      <c r="W57">
        <v>3900</v>
      </c>
      <c r="X57">
        <v>0</v>
      </c>
      <c r="Y57" s="15"/>
      <c r="Z57">
        <v>3900</v>
      </c>
      <c r="AA57">
        <v>3900</v>
      </c>
      <c r="AB57">
        <v>0</v>
      </c>
      <c r="AD57" s="9"/>
      <c r="AE57" s="16"/>
      <c r="AF57" s="16"/>
      <c r="AG57"/>
    </row>
    <row r="58" spans="1:34" x14ac:dyDescent="0.2">
      <c r="A58" s="6" t="s">
        <v>100</v>
      </c>
      <c r="B58" s="7">
        <v>49.99999999999995</v>
      </c>
      <c r="C58" s="7">
        <v>599.99999999999886</v>
      </c>
      <c r="D58" s="7" t="s">
        <v>26</v>
      </c>
      <c r="E58" s="7" t="s">
        <v>26</v>
      </c>
      <c r="F58" s="23">
        <v>3</v>
      </c>
      <c r="G58" s="23">
        <v>5</v>
      </c>
      <c r="H58" s="23">
        <v>2</v>
      </c>
      <c r="I58" s="7" t="s">
        <v>79</v>
      </c>
      <c r="J58" s="7" t="s">
        <v>27</v>
      </c>
      <c r="K58" s="7" t="s">
        <v>80</v>
      </c>
      <c r="L58" s="7" t="s">
        <v>27</v>
      </c>
      <c r="M58" s="7" t="s">
        <v>78</v>
      </c>
      <c r="N58" s="7" t="s">
        <v>27</v>
      </c>
      <c r="O58" s="7">
        <v>99.999999999999901</v>
      </c>
      <c r="P58" s="7">
        <v>250.00000000000006</v>
      </c>
      <c r="Q58" s="7">
        <v>99.999999999999901</v>
      </c>
      <c r="R58" s="7">
        <v>250.00000000000006</v>
      </c>
      <c r="S58" s="7">
        <v>250.00000000000006</v>
      </c>
      <c r="T58" s="7">
        <v>250.00000000000006</v>
      </c>
      <c r="U58" s="22" t="s">
        <v>41</v>
      </c>
      <c r="V58">
        <v>3900</v>
      </c>
      <c r="W58">
        <v>3900</v>
      </c>
      <c r="X58">
        <v>0</v>
      </c>
      <c r="Z58">
        <v>3900</v>
      </c>
      <c r="AA58">
        <v>3900</v>
      </c>
      <c r="AB58">
        <v>0</v>
      </c>
      <c r="AD58" s="9"/>
      <c r="AE58" s="16"/>
      <c r="AF58" s="16"/>
      <c r="AG58"/>
    </row>
    <row r="59" spans="1:34" x14ac:dyDescent="0.2">
      <c r="A59" s="6" t="s">
        <v>99</v>
      </c>
      <c r="B59" s="7">
        <v>49.99999999999995</v>
      </c>
      <c r="C59" s="7">
        <v>599.99999999999886</v>
      </c>
      <c r="D59" s="7" t="s">
        <v>26</v>
      </c>
      <c r="E59" s="7" t="s">
        <v>26</v>
      </c>
      <c r="F59" s="23">
        <v>3</v>
      </c>
      <c r="G59" s="23">
        <v>5</v>
      </c>
      <c r="H59" s="23">
        <v>2</v>
      </c>
      <c r="I59" s="7" t="s">
        <v>79</v>
      </c>
      <c r="J59" s="7" t="s">
        <v>27</v>
      </c>
      <c r="K59" s="7" t="s">
        <v>80</v>
      </c>
      <c r="L59" s="7" t="s">
        <v>27</v>
      </c>
      <c r="M59" s="7" t="s">
        <v>78</v>
      </c>
      <c r="N59" s="7" t="s">
        <v>27</v>
      </c>
      <c r="O59" s="7">
        <v>99.999999999999901</v>
      </c>
      <c r="P59" s="7">
        <v>250.00000000000006</v>
      </c>
      <c r="Q59" s="7">
        <v>99.999999999999901</v>
      </c>
      <c r="R59" s="7">
        <v>250.00000000000006</v>
      </c>
      <c r="S59" s="7">
        <v>250.00000000000006</v>
      </c>
      <c r="T59" s="7">
        <v>250.00000000000006</v>
      </c>
      <c r="U59" s="22" t="s">
        <v>41</v>
      </c>
      <c r="V59">
        <v>3900</v>
      </c>
      <c r="W59">
        <v>3900</v>
      </c>
      <c r="X59">
        <v>0</v>
      </c>
      <c r="Z59">
        <v>3900</v>
      </c>
      <c r="AA59">
        <v>3900</v>
      </c>
      <c r="AB59">
        <v>0</v>
      </c>
      <c r="AD59" s="9"/>
      <c r="AE59" s="16"/>
      <c r="AF59" s="16"/>
      <c r="AG59"/>
    </row>
    <row r="60" spans="1:34" x14ac:dyDescent="0.2">
      <c r="A60" s="6" t="s">
        <v>100</v>
      </c>
      <c r="B60" s="7">
        <v>49.99999999999995</v>
      </c>
      <c r="C60" s="7">
        <v>599.99999999999886</v>
      </c>
      <c r="D60" s="7" t="s">
        <v>26</v>
      </c>
      <c r="E60" s="7" t="s">
        <v>26</v>
      </c>
      <c r="F60" s="23">
        <v>3</v>
      </c>
      <c r="G60" s="23">
        <v>5</v>
      </c>
      <c r="H60" s="23">
        <v>2</v>
      </c>
      <c r="I60" s="7" t="s">
        <v>79</v>
      </c>
      <c r="J60" s="7" t="s">
        <v>27</v>
      </c>
      <c r="K60" s="7" t="s">
        <v>80</v>
      </c>
      <c r="L60" s="7" t="s">
        <v>27</v>
      </c>
      <c r="M60" s="7" t="s">
        <v>78</v>
      </c>
      <c r="N60" s="7" t="s">
        <v>27</v>
      </c>
      <c r="O60" s="7">
        <v>99.999999999999901</v>
      </c>
      <c r="P60" s="7">
        <v>250.00000000000006</v>
      </c>
      <c r="Q60" s="7">
        <v>99.999999999999901</v>
      </c>
      <c r="R60" s="7">
        <v>250.00000000000006</v>
      </c>
      <c r="S60" s="7">
        <v>250.00000000000006</v>
      </c>
      <c r="T60" s="7">
        <v>250.00000000000006</v>
      </c>
      <c r="U60" s="22" t="s">
        <v>41</v>
      </c>
      <c r="V60">
        <v>2175</v>
      </c>
      <c r="W60">
        <v>3325</v>
      </c>
      <c r="X60">
        <v>6200</v>
      </c>
      <c r="Z60">
        <v>2175</v>
      </c>
      <c r="AA60">
        <v>3325</v>
      </c>
      <c r="AB60">
        <v>6200</v>
      </c>
      <c r="AD60" s="9"/>
      <c r="AE60" s="16"/>
      <c r="AF60" s="16"/>
      <c r="AG60"/>
    </row>
    <row r="61" spans="1:34" x14ac:dyDescent="0.2">
      <c r="A61" s="6" t="s">
        <v>99</v>
      </c>
      <c r="B61" s="7">
        <v>49.99999999999995</v>
      </c>
      <c r="C61" s="7">
        <v>599.99999999999886</v>
      </c>
      <c r="D61" s="7" t="s">
        <v>26</v>
      </c>
      <c r="E61" s="7" t="s">
        <v>26</v>
      </c>
      <c r="F61" s="23">
        <v>3</v>
      </c>
      <c r="G61" s="23">
        <v>5</v>
      </c>
      <c r="H61" s="23">
        <v>2</v>
      </c>
      <c r="I61" s="7" t="s">
        <v>79</v>
      </c>
      <c r="J61" s="7" t="s">
        <v>27</v>
      </c>
      <c r="K61" s="7" t="s">
        <v>80</v>
      </c>
      <c r="L61" s="7" t="s">
        <v>27</v>
      </c>
      <c r="M61" s="7" t="s">
        <v>78</v>
      </c>
      <c r="N61" s="7" t="s">
        <v>27</v>
      </c>
      <c r="O61" s="7">
        <v>99.999999999999901</v>
      </c>
      <c r="P61" s="7">
        <v>250.00000000000006</v>
      </c>
      <c r="Q61" s="7">
        <v>99.999999999999901</v>
      </c>
      <c r="R61" s="7">
        <v>250.00000000000006</v>
      </c>
      <c r="S61" s="7">
        <v>250.00000000000006</v>
      </c>
      <c r="T61" s="7">
        <v>250.00000000000006</v>
      </c>
      <c r="U61" s="22" t="s">
        <v>41</v>
      </c>
      <c r="V61"/>
      <c r="AD61" s="9"/>
      <c r="AE61" s="16"/>
      <c r="AF61" s="16"/>
      <c r="AG61"/>
    </row>
    <row r="62" spans="1:34" x14ac:dyDescent="0.2">
      <c r="A62" s="6" t="s">
        <v>100</v>
      </c>
      <c r="B62" s="7">
        <v>49.99999999999995</v>
      </c>
      <c r="C62" s="7">
        <v>599.99999999999886</v>
      </c>
      <c r="D62" s="7" t="s">
        <v>26</v>
      </c>
      <c r="E62" s="7" t="s">
        <v>26</v>
      </c>
      <c r="F62" s="23">
        <v>3</v>
      </c>
      <c r="G62" s="23">
        <v>5</v>
      </c>
      <c r="H62" s="23">
        <v>2</v>
      </c>
      <c r="I62" s="7" t="s">
        <v>79</v>
      </c>
      <c r="J62" s="7" t="s">
        <v>27</v>
      </c>
      <c r="K62" s="7" t="s">
        <v>80</v>
      </c>
      <c r="L62" s="7" t="s">
        <v>27</v>
      </c>
      <c r="M62" s="7" t="s">
        <v>78</v>
      </c>
      <c r="N62" s="7" t="s">
        <v>27</v>
      </c>
      <c r="O62" s="7">
        <v>99.999999999999901</v>
      </c>
      <c r="P62" s="7">
        <v>250.00000000000006</v>
      </c>
      <c r="Q62" s="7">
        <v>99.999999999999901</v>
      </c>
      <c r="R62" s="7">
        <v>250.00000000000006</v>
      </c>
      <c r="S62" s="7">
        <v>250.00000000000006</v>
      </c>
      <c r="T62" s="7">
        <v>250.00000000000006</v>
      </c>
      <c r="U62" s="22" t="s">
        <v>41</v>
      </c>
      <c r="V62"/>
      <c r="AD62" s="16"/>
      <c r="AE62" s="16"/>
      <c r="AF62" s="16"/>
      <c r="AG62"/>
    </row>
    <row r="63" spans="1:34" x14ac:dyDescent="0.2">
      <c r="A63" s="6" t="s">
        <v>99</v>
      </c>
      <c r="B63" s="7">
        <v>49.99999999999995</v>
      </c>
      <c r="C63" s="7">
        <v>599.99999999999886</v>
      </c>
      <c r="D63" s="7" t="s">
        <v>26</v>
      </c>
      <c r="E63" s="7" t="s">
        <v>26</v>
      </c>
      <c r="F63" s="23">
        <v>3</v>
      </c>
      <c r="G63" s="23">
        <v>5</v>
      </c>
      <c r="H63" s="23">
        <v>2</v>
      </c>
      <c r="I63" s="7" t="s">
        <v>79</v>
      </c>
      <c r="J63" s="7" t="s">
        <v>27</v>
      </c>
      <c r="K63" s="7" t="s">
        <v>80</v>
      </c>
      <c r="L63" s="7" t="s">
        <v>27</v>
      </c>
      <c r="M63" s="7" t="s">
        <v>78</v>
      </c>
      <c r="N63" s="7" t="s">
        <v>27</v>
      </c>
      <c r="O63" s="7">
        <v>99.999999999999901</v>
      </c>
      <c r="P63" s="7">
        <v>250.00000000000006</v>
      </c>
      <c r="Q63" s="7">
        <v>99.999999999999901</v>
      </c>
      <c r="R63" s="7">
        <v>250.00000000000006</v>
      </c>
      <c r="S63" s="7">
        <v>250.00000000000006</v>
      </c>
      <c r="T63" s="7">
        <v>250.00000000000006</v>
      </c>
      <c r="U63" s="22" t="s">
        <v>41</v>
      </c>
      <c r="V63"/>
      <c r="AD63" s="16"/>
      <c r="AE63" s="16"/>
      <c r="AF63" s="16"/>
      <c r="AG63"/>
    </row>
    <row r="64" spans="1:34" x14ac:dyDescent="0.2">
      <c r="A64" s="6" t="s">
        <v>100</v>
      </c>
      <c r="B64" s="7">
        <v>49.99999999999995</v>
      </c>
      <c r="C64" s="7">
        <v>599.99999999999886</v>
      </c>
      <c r="D64" s="7" t="s">
        <v>26</v>
      </c>
      <c r="E64" s="7" t="s">
        <v>26</v>
      </c>
      <c r="F64" s="23">
        <v>3</v>
      </c>
      <c r="G64" s="23">
        <v>5</v>
      </c>
      <c r="H64" s="23">
        <v>2</v>
      </c>
      <c r="I64" s="7" t="s">
        <v>79</v>
      </c>
      <c r="J64" s="7" t="s">
        <v>27</v>
      </c>
      <c r="K64" s="7" t="s">
        <v>80</v>
      </c>
      <c r="L64" s="7" t="s">
        <v>27</v>
      </c>
      <c r="M64" s="7" t="s">
        <v>78</v>
      </c>
      <c r="N64" s="7" t="s">
        <v>27</v>
      </c>
      <c r="O64" s="7">
        <v>99.999999999999901</v>
      </c>
      <c r="P64" s="7">
        <v>250.00000000000006</v>
      </c>
      <c r="Q64" s="7">
        <v>99.999999999999901</v>
      </c>
      <c r="R64" s="7">
        <v>250.00000000000006</v>
      </c>
      <c r="S64" s="7">
        <v>250.00000000000006</v>
      </c>
      <c r="T64" s="7">
        <v>250.00000000000006</v>
      </c>
      <c r="U64" s="22" t="s">
        <v>41</v>
      </c>
      <c r="V64"/>
      <c r="AD64" s="16"/>
      <c r="AE64" s="16"/>
      <c r="AF64" s="16"/>
      <c r="AG64"/>
    </row>
    <row r="65" spans="1:33" x14ac:dyDescent="0.2">
      <c r="A65" s="6" t="s">
        <v>99</v>
      </c>
      <c r="B65" s="7">
        <v>49.99999999999995</v>
      </c>
      <c r="C65" s="7">
        <v>599.99999999999886</v>
      </c>
      <c r="D65" s="7" t="s">
        <v>26</v>
      </c>
      <c r="E65" s="7" t="s">
        <v>26</v>
      </c>
      <c r="F65" s="23">
        <v>3</v>
      </c>
      <c r="G65" s="23">
        <v>5</v>
      </c>
      <c r="H65" s="23">
        <v>2</v>
      </c>
      <c r="I65" s="7" t="s">
        <v>79</v>
      </c>
      <c r="J65" s="7" t="s">
        <v>27</v>
      </c>
      <c r="K65" s="7" t="s">
        <v>80</v>
      </c>
      <c r="L65" s="7" t="s">
        <v>27</v>
      </c>
      <c r="M65" s="7" t="s">
        <v>78</v>
      </c>
      <c r="N65" s="7" t="s">
        <v>27</v>
      </c>
      <c r="O65" s="7">
        <v>99.999999999999901</v>
      </c>
      <c r="P65" s="7">
        <v>250.00000000000006</v>
      </c>
      <c r="Q65" s="7">
        <v>99.999999999999901</v>
      </c>
      <c r="R65" s="7">
        <v>250.00000000000006</v>
      </c>
      <c r="S65" s="7">
        <v>250.00000000000006</v>
      </c>
      <c r="T65" s="7">
        <v>250.00000000000006</v>
      </c>
      <c r="U65" s="22" t="s">
        <v>41</v>
      </c>
      <c r="V65"/>
      <c r="AD65" s="16"/>
      <c r="AE65" s="16"/>
      <c r="AF65" s="16"/>
      <c r="AG65"/>
    </row>
    <row r="66" spans="1:33" ht="12" thickBot="1" x14ac:dyDescent="0.25">
      <c r="A66" s="8" t="s">
        <v>100</v>
      </c>
      <c r="B66" s="7">
        <v>49.99999999999995</v>
      </c>
      <c r="C66" s="7">
        <v>599.99999999999886</v>
      </c>
      <c r="D66" s="7" t="s">
        <v>26</v>
      </c>
      <c r="E66" s="7" t="s">
        <v>26</v>
      </c>
      <c r="F66" s="23">
        <v>3</v>
      </c>
      <c r="G66" s="23">
        <v>5</v>
      </c>
      <c r="H66" s="23">
        <v>2</v>
      </c>
      <c r="I66" s="7" t="s">
        <v>79</v>
      </c>
      <c r="J66" s="7" t="s">
        <v>27</v>
      </c>
      <c r="K66" s="7" t="s">
        <v>80</v>
      </c>
      <c r="L66" s="7" t="s">
        <v>27</v>
      </c>
      <c r="M66" s="7" t="s">
        <v>78</v>
      </c>
      <c r="N66" s="7" t="s">
        <v>27</v>
      </c>
      <c r="O66" s="7">
        <v>99.999999999999901</v>
      </c>
      <c r="P66" s="7">
        <v>250.00000000000006</v>
      </c>
      <c r="Q66" s="7">
        <v>99.999999999999901</v>
      </c>
      <c r="R66" s="7">
        <v>250.00000000000006</v>
      </c>
      <c r="S66" s="7">
        <v>250.00000000000006</v>
      </c>
      <c r="T66" s="7">
        <v>250.00000000000006</v>
      </c>
      <c r="U66" s="22" t="s">
        <v>41</v>
      </c>
      <c r="V66"/>
      <c r="AD66" s="16"/>
      <c r="AE66" s="16"/>
      <c r="AF66" s="16"/>
      <c r="AG66"/>
    </row>
    <row r="82" spans="11:18" x14ac:dyDescent="0.2">
      <c r="K82" s="4" t="s">
        <v>117</v>
      </c>
      <c r="M82" s="4" t="s">
        <v>118</v>
      </c>
      <c r="N82" s="35"/>
    </row>
    <row r="83" spans="11:18" x14ac:dyDescent="0.2">
      <c r="K83" s="4">
        <v>0</v>
      </c>
      <c r="L83" s="4">
        <v>7.0538057742782101</v>
      </c>
      <c r="M83">
        <f>304.8*L83+bt</f>
        <v>2199.9999999999986</v>
      </c>
      <c r="Q83" s="4">
        <v>12.7952755905511</v>
      </c>
      <c r="R83">
        <f>304.8*Q83</f>
        <v>3899.9999999999754</v>
      </c>
    </row>
    <row r="84" spans="11:18" x14ac:dyDescent="0.2">
      <c r="K84" s="4">
        <v>1</v>
      </c>
      <c r="L84" s="4">
        <v>2.6246719160105001</v>
      </c>
      <c r="M84">
        <f>304.8*L84+bt</f>
        <v>850.00000000000045</v>
      </c>
      <c r="Q84" s="4">
        <v>19.192913385826699</v>
      </c>
      <c r="R84">
        <f t="shared" ref="R84:R86" si="0">304.8*Q84</f>
        <v>5849.9999999999782</v>
      </c>
    </row>
    <row r="85" spans="11:18" x14ac:dyDescent="0.2">
      <c r="K85" s="4">
        <v>2</v>
      </c>
      <c r="L85" s="4">
        <v>6.3976377952746804</v>
      </c>
      <c r="M85">
        <f>304.8*L85+bt</f>
        <v>1999.9999999997226</v>
      </c>
      <c r="Q85" s="4">
        <v>19.192913385826699</v>
      </c>
      <c r="R85">
        <f t="shared" si="0"/>
        <v>5849.9999999999782</v>
      </c>
    </row>
    <row r="86" spans="11:18" x14ac:dyDescent="0.2">
      <c r="K86" s="4">
        <v>3</v>
      </c>
      <c r="L86" s="4">
        <v>13.7795275590542</v>
      </c>
      <c r="M86">
        <f>304.8*L86+bt</f>
        <v>4249.9999999997208</v>
      </c>
      <c r="Q86" s="4">
        <v>12.7952755905511</v>
      </c>
      <c r="R86">
        <f t="shared" si="0"/>
        <v>3899.9999999999754</v>
      </c>
    </row>
    <row r="87" spans="11:18" x14ac:dyDescent="0.2">
      <c r="K87" s="4">
        <v>4</v>
      </c>
      <c r="L87" s="4">
        <v>4.5931758530174402</v>
      </c>
      <c r="M87">
        <f>304.8*L87+bt</f>
        <v>1449.9999999997158</v>
      </c>
      <c r="N87" s="4" t="s">
        <v>119</v>
      </c>
    </row>
    <row r="88" spans="11:18" x14ac:dyDescent="0.2">
      <c r="K88" s="4">
        <v>5</v>
      </c>
      <c r="L88" s="4">
        <v>3.2808398950122002</v>
      </c>
      <c r="M88">
        <f>304.8*L88+bt</f>
        <v>1049.9999999997185</v>
      </c>
    </row>
    <row r="89" spans="11:18" x14ac:dyDescent="0.2">
      <c r="M89">
        <f t="shared" ref="M83:M91" si="1">304.8*L89</f>
        <v>0</v>
      </c>
    </row>
    <row r="90" spans="11:18" x14ac:dyDescent="0.2">
      <c r="M90">
        <f t="shared" si="1"/>
        <v>0</v>
      </c>
    </row>
    <row r="91" spans="11:18" x14ac:dyDescent="0.2">
      <c r="M91">
        <f t="shared" si="1"/>
        <v>0</v>
      </c>
    </row>
  </sheetData>
  <mergeCells count="8">
    <mergeCell ref="AD35:AG35"/>
    <mergeCell ref="A2:G2"/>
    <mergeCell ref="A3:G3"/>
    <mergeCell ref="A17:G17"/>
    <mergeCell ref="A33:G33"/>
    <mergeCell ref="J35:T35"/>
    <mergeCell ref="V35:AC35"/>
    <mergeCell ref="A35:I35"/>
  </mergeCells>
  <dataValidations disablePrompts="1" count="2">
    <dataValidation type="list" showInputMessage="1" showErrorMessage="1" errorTitle="Phước" error="không để trống!_x000a_" sqref="B24 U37:U66">
      <formula1>"yes,no"</formula1>
    </dataValidation>
    <dataValidation type="list" allowBlank="1" showInputMessage="1" showErrorMessage="1" sqref="B8 B10">
      <formula1>"hook1,hook2,hook3,hook4"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" r:id="rId4" name="Button 52">
              <controlPr defaultSize="0" print="0" autoFill="0" autoPict="0" macro="[0]!Module1.Update">
                <anchor moveWithCells="1" sizeWithCells="1">
                  <from>
                    <xdr:col>5</xdr:col>
                    <xdr:colOff>0</xdr:colOff>
                    <xdr:row>31</xdr:row>
                    <xdr:rowOff>104775</xdr:rowOff>
                  </from>
                  <to>
                    <xdr:col>8</xdr:col>
                    <xdr:colOff>57150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" name="Button 53">
              <controlPr defaultSize="0" print="0" autoFill="0" autoPict="0" macro="[0]!Module1.Inquire">
                <anchor moveWithCells="1" sizeWithCells="1">
                  <from>
                    <xdr:col>8</xdr:col>
                    <xdr:colOff>161925</xdr:colOff>
                    <xdr:row>31</xdr:row>
                    <xdr:rowOff>104775</xdr:rowOff>
                  </from>
                  <to>
                    <xdr:col>9</xdr:col>
                    <xdr:colOff>304800</xdr:colOff>
                    <xdr:row>33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65</vt:i4>
      </vt:variant>
    </vt:vector>
  </HeadingPairs>
  <TitlesOfParts>
    <vt:vector size="66" baseType="lpstr">
      <vt:lpstr>WallRebar</vt:lpstr>
      <vt:lpstr>abv</vt:lpstr>
      <vt:lpstr>angle_Bar</vt:lpstr>
      <vt:lpstr>bd</vt:lpstr>
      <vt:lpstr>bop</vt:lpstr>
      <vt:lpstr>bt</vt:lpstr>
      <vt:lpstr>chenh_lechPT</vt:lpstr>
      <vt:lpstr>chenh_lechS</vt:lpstr>
      <vt:lpstr>Comment_bien</vt:lpstr>
      <vt:lpstr>Comment_giua</vt:lpstr>
      <vt:lpstr>D_bien</vt:lpstr>
      <vt:lpstr>D_giua</vt:lpstr>
      <vt:lpstr>daiNgang</vt:lpstr>
      <vt:lpstr>DKDaiBien</vt:lpstr>
      <vt:lpstr>DKDaiCon</vt:lpstr>
      <vt:lpstr>DKDaiNgoai</vt:lpstr>
      <vt:lpstr>dtc1_bien</vt:lpstr>
      <vt:lpstr>dtc1_giua</vt:lpstr>
      <vt:lpstr>dtc2_bien</vt:lpstr>
      <vt:lpstr>dtc2_giua</vt:lpstr>
      <vt:lpstr>end_level</vt:lpstr>
      <vt:lpstr>hook</vt:lpstr>
      <vt:lpstr>hook_offset</vt:lpstr>
      <vt:lpstr>implant</vt:lpstr>
      <vt:lpstr>Inquire</vt:lpstr>
      <vt:lpstr>k</vt:lpstr>
      <vt:lpstr>L0_bien</vt:lpstr>
      <vt:lpstr>L0_giua</vt:lpstr>
      <vt:lpstr>L1_bien</vt:lpstr>
      <vt:lpstr>L1_giua</vt:lpstr>
      <vt:lpstr>L2_bien</vt:lpstr>
      <vt:lpstr>L2_giua</vt:lpstr>
      <vt:lpstr>Level</vt:lpstr>
      <vt:lpstr>Lmax</vt:lpstr>
      <vt:lpstr>Lmin</vt:lpstr>
      <vt:lpstr>mark</vt:lpstr>
      <vt:lpstr>n1_</vt:lpstr>
      <vt:lpstr>n2_</vt:lpstr>
      <vt:lpstr>name_para1</vt:lpstr>
      <vt:lpstr>name_para2</vt:lpstr>
      <vt:lpstr>name_para3</vt:lpstr>
      <vt:lpstr>name_para4</vt:lpstr>
      <vt:lpstr>number_A</vt:lpstr>
      <vt:lpstr>number_B</vt:lpstr>
      <vt:lpstr>number_C</vt:lpstr>
      <vt:lpstr>para1</vt:lpstr>
      <vt:lpstr>para2</vt:lpstr>
      <vt:lpstr>para3</vt:lpstr>
      <vt:lpstr>para4</vt:lpstr>
      <vt:lpstr>SCDaiBien</vt:lpstr>
      <vt:lpstr>SCDaiCon</vt:lpstr>
      <vt:lpstr>SCDaiNgoai</vt:lpstr>
      <vt:lpstr>spacing1_con</vt:lpstr>
      <vt:lpstr>spacing2_con</vt:lpstr>
      <vt:lpstr>spacing3_bao</vt:lpstr>
      <vt:lpstr>spacing4_bao</vt:lpstr>
      <vt:lpstr>spacing5_bien</vt:lpstr>
      <vt:lpstr>spacing6_bien</vt:lpstr>
      <vt:lpstr>ss</vt:lpstr>
      <vt:lpstr>start_level</vt:lpstr>
      <vt:lpstr>tan_dung</vt:lpstr>
      <vt:lpstr>tl</vt:lpstr>
      <vt:lpstr>type_hook</vt:lpstr>
      <vt:lpstr>type_implant</vt:lpstr>
      <vt:lpstr>Update</vt:lpstr>
      <vt:lpstr>vuotTang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Phuoc</dc:creator>
  <cp:lastModifiedBy>Phuoc</cp:lastModifiedBy>
  <dcterms:created xsi:type="dcterms:W3CDTF">2017-07-18T05:51:22Z</dcterms:created>
  <dcterms:modified xsi:type="dcterms:W3CDTF">2017-08-10T06:42:01Z</dcterms:modified>
</cp:coreProperties>
</file>